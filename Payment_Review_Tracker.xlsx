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ayment Log" sheetId="2" state="visible" r:id="rId2"/>
    <sheet name="Claimant Summary" sheetId="3" state="visible" r:id="rId3"/>
    <sheet name="Monthly Dashboard" sheetId="4" state="visible" r:id="rId4"/>
    <sheet name="Discrepancy Register" sheetId="5" state="visible" r:id="rId5"/>
  </sheets>
  <definedNames>
    <definedName name="_xlnm._FilterDatabase" localSheetId="4" hidden="1">'Discrepancy Register'!$A$3:$K$81</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10">
    <font>
      <name val="Calibri"/>
      <family val="2"/>
      <color theme="1"/>
      <sz val="11"/>
      <scheme val="minor"/>
    </font>
    <font>
      <name val="Arial"/>
      <b val="1"/>
      <color rgb="00FFFFFF"/>
      <sz val="16"/>
    </font>
    <font>
      <name val="Arial"/>
      <i val="1"/>
      <color rgb="00595959"/>
      <sz val="9"/>
    </font>
    <font>
      <name val="Arial"/>
      <b val="1"/>
      <color rgb="00FFFFFF"/>
      <sz val="10"/>
    </font>
    <font>
      <name val="Arial"/>
      <b val="1"/>
      <color rgb="001F4E79"/>
      <sz val="9"/>
    </font>
    <font>
      <name val="Arial"/>
      <sz val="9"/>
    </font>
    <font>
      <name val="Arial"/>
      <b val="1"/>
      <color rgb="00FFFFFF"/>
      <sz val="13"/>
    </font>
    <font>
      <name val="Arial"/>
      <i val="1"/>
      <color rgb="00595959"/>
      <sz val="8"/>
    </font>
    <font>
      <name val="Arial"/>
      <color rgb="00000000"/>
      <sz val="9"/>
    </font>
    <font>
      <name val="Arial"/>
      <b val="1"/>
      <color rgb="00FFFFFF"/>
      <sz val="9"/>
    </font>
  </fonts>
  <fills count="13">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EBF3FB"/>
      </patternFill>
    </fill>
    <fill>
      <patternFill patternType="solid">
        <fgColor rgb="00E2EFDA"/>
      </patternFill>
    </fill>
    <fill>
      <patternFill patternType="solid">
        <fgColor rgb="00FFFFFF"/>
      </patternFill>
    </fill>
    <fill>
      <patternFill patternType="solid">
        <fgColor rgb="00FCE4D6"/>
      </patternFill>
    </fill>
    <fill>
      <patternFill patternType="solid">
        <fgColor rgb="00FFF2CC"/>
      </patternFill>
    </fill>
    <fill>
      <patternFill patternType="solid">
        <fgColor rgb="00FFD7D7"/>
      </patternFill>
    </fill>
    <fill>
      <patternFill patternType="solid">
        <fgColor rgb="00C00000"/>
      </patternFill>
    </fill>
    <fill>
      <patternFill patternType="solid">
        <fgColor rgb="00C55A11"/>
      </patternFill>
    </fill>
  </fills>
  <borders count="3">
    <border>
      <left/>
      <right/>
      <top/>
      <bottom/>
      <diagonal/>
    </border>
    <border>
      <left style="thin">
        <color rgb="00CCCCCC"/>
      </left>
      <right style="thin">
        <color rgb="00CCCCCC"/>
      </right>
      <top style="thin">
        <color rgb="00CCCCCC"/>
      </top>
      <bottom style="thin">
        <color rgb="00CCCCCC"/>
      </bottom>
    </border>
    <border>
      <left style="thin">
        <color rgb="00AAAAAA"/>
      </left>
      <right style="thin">
        <color rgb="00AAAAAA"/>
      </right>
      <top style="thin">
        <color rgb="00AAAAAA"/>
      </top>
      <bottom style="thin">
        <color rgb="00AAAAAA"/>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applyAlignment="1" pivotButton="0" quotePrefix="0" xfId="0">
      <alignment horizontal="left" vertical="center" indent="1"/>
    </xf>
    <xf numFmtId="0" fontId="4" fillId="5" borderId="1" applyAlignment="1" pivotButton="0" quotePrefix="0" xfId="0">
      <alignment horizontal="left" vertical="top" wrapText="1" indent="1"/>
    </xf>
    <xf numFmtId="0" fontId="5" fillId="0" borderId="1" applyAlignment="1" pivotButton="0" quotePrefix="0" xfId="0">
      <alignment horizontal="left" vertical="top" wrapText="1" indent="1"/>
    </xf>
    <xf numFmtId="0" fontId="6" fillId="2" borderId="0" applyAlignment="1" pivotButton="0" quotePrefix="0" xfId="0">
      <alignment horizontal="center" vertical="center"/>
    </xf>
    <xf numFmtId="0" fontId="7" fillId="3" borderId="0" applyAlignment="1" pivotButton="0" quotePrefix="0" xfId="0">
      <alignment horizontal="center"/>
    </xf>
    <xf numFmtId="0" fontId="3" fillId="4" borderId="2" applyAlignment="1" pivotButton="0" quotePrefix="0" xfId="0">
      <alignment horizontal="center" vertical="center" wrapText="1"/>
    </xf>
    <xf numFmtId="0" fontId="8" fillId="5" borderId="1" applyAlignment="1" pivotButton="0" quotePrefix="0" xfId="0">
      <alignment horizontal="center" vertical="center"/>
    </xf>
    <xf numFmtId="0" fontId="8" fillId="5" borderId="1" applyAlignment="1" pivotButton="0" quotePrefix="0" xfId="0">
      <alignment horizontal="left" vertical="center"/>
    </xf>
    <xf numFmtId="164" fontId="8" fillId="5" borderId="1" applyAlignment="1" pivotButton="0" quotePrefix="0" xfId="0">
      <alignment horizontal="right" vertical="center"/>
    </xf>
    <xf numFmtId="164" fontId="8" fillId="6" borderId="1" applyAlignment="1" pivotButton="0" quotePrefix="0" xfId="0">
      <alignment horizontal="right"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8" fillId="7" borderId="1" applyAlignment="1" pivotButton="0" quotePrefix="0" xfId="0">
      <alignment horizontal="left" vertical="center"/>
    </xf>
    <xf numFmtId="164" fontId="8" fillId="7" borderId="1" applyAlignment="1" pivotButton="0" quotePrefix="0" xfId="0">
      <alignment horizontal="right" vertical="center"/>
    </xf>
    <xf numFmtId="164" fontId="8" fillId="3" borderId="1" applyAlignment="1" pivotButton="0" quotePrefix="0" xfId="0">
      <alignment horizontal="right"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164" fontId="8" fillId="10" borderId="1" applyAlignment="1" pivotButton="0" quotePrefix="0" xfId="0">
      <alignment horizontal="right" vertical="center"/>
    </xf>
    <xf numFmtId="0" fontId="8" fillId="10" borderId="1" applyAlignment="1" pivotButton="0" quotePrefix="0" xfId="0">
      <alignment horizontal="center" vertical="center"/>
    </xf>
    <xf numFmtId="165" fontId="8" fillId="5" borderId="1" applyAlignment="1" pivotButton="0" quotePrefix="0" xfId="0">
      <alignment horizontal="center" vertical="center"/>
    </xf>
    <xf numFmtId="165" fontId="8" fillId="7" borderId="1" applyAlignment="1" pivotButton="0" quotePrefix="0" xfId="0">
      <alignment horizontal="center" vertical="center"/>
    </xf>
    <xf numFmtId="0" fontId="9" fillId="2" borderId="1" pivotButton="0" quotePrefix="0" xfId="0"/>
    <xf numFmtId="0" fontId="0" fillId="0" borderId="1" pivotButton="0" quotePrefix="0" xfId="0"/>
    <xf numFmtId="164" fontId="9" fillId="2" borderId="1" applyAlignment="1" pivotButton="0" quotePrefix="0" xfId="0">
      <alignment horizontal="right" vertical="center"/>
    </xf>
    <xf numFmtId="0" fontId="9" fillId="2" borderId="1" applyAlignment="1" pivotButton="0" quotePrefix="0" xfId="0">
      <alignment horizontal="right"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0" fontId="6" fillId="11" borderId="0" applyAlignment="1" pivotButton="0" quotePrefix="0" xfId="0">
      <alignment horizontal="center" vertical="center"/>
    </xf>
    <xf numFmtId="0" fontId="7" fillId="8" borderId="0" applyAlignment="1" pivotButton="0" quotePrefix="0" xfId="0">
      <alignment horizontal="center"/>
    </xf>
    <xf numFmtId="0" fontId="3" fillId="12" borderId="2" applyAlignment="1" pivotButton="0" quotePrefix="0" xfId="0">
      <alignment horizontal="center" vertical="center" wrapText="1"/>
    </xf>
    <xf numFmtId="0" fontId="8" fillId="8" borderId="1" applyAlignment="1" pivotButton="0" quotePrefix="0" xfId="0">
      <alignment horizontal="left" vertical="center"/>
    </xf>
    <xf numFmtId="164" fontId="8" fillId="8" borderId="1" applyAlignment="1" pivotButton="0" quotePrefix="0" xfId="0">
      <alignment horizontal="right" vertical="center"/>
    </xf>
    <xf numFmtId="0" fontId="8" fillId="9" borderId="1" applyAlignment="1" pivotButton="0" quotePrefix="0" xfId="0">
      <alignment horizontal="left" vertical="center"/>
    </xf>
    <xf numFmtId="164" fontId="8" fillId="9" borderId="1" applyAlignment="1" pivotButton="0" quotePrefix="0" xfId="0">
      <alignment horizontal="right" vertical="center"/>
    </xf>
    <xf numFmtId="0" fontId="8" fillId="10" borderId="1" applyAlignment="1" pivotButton="0" quotePrefix="0" xfId="0">
      <alignment horizontal="left" vertical="center"/>
    </xf>
  </cellXfs>
  <cellStyles count="1">
    <cellStyle name="Normal" xfId="0" builtinId="0" hidden="0"/>
  </cellStyles>
  <dxfs count="3">
    <dxf>
      <font>
        <name val="Arial"/>
        <b val="1"/>
        <color rgb="00C00000"/>
        <sz val="9"/>
      </font>
      <fill>
        <patternFill patternType="solid">
          <fgColor rgb="00FFD7D7"/>
        </patternFill>
      </fill>
    </dxf>
    <dxf>
      <font>
        <name val="Arial"/>
        <b val="1"/>
        <color rgb="007F6000"/>
        <sz val="9"/>
      </font>
      <fill>
        <patternFill patternType="solid">
          <fgColor rgb="00FFF2CC"/>
        </patternFill>
      </fill>
    </dxf>
    <dxf>
      <font>
        <name val="Arial"/>
        <b val="1"/>
        <color rgb="00375623"/>
        <sz val="9"/>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Monthly Payments: Expected vs Actual</a:t>
            </a:r>
          </a:p>
        </rich>
      </tx>
    </title>
    <plotArea>
      <barChart>
        <barDir val="col"/>
        <grouping val="clustered"/>
        <ser>
          <idx val="0"/>
          <order val="0"/>
          <tx>
            <strRef>
              <f>'Monthly Dashboard'!C3</f>
            </strRef>
          </tx>
          <spPr>
            <a:ln>
              <a:prstDash val="solid"/>
            </a:ln>
          </spPr>
          <cat>
            <numRef>
              <f>'Monthly Dashboard'!$A$4:$A$15</f>
            </numRef>
          </cat>
          <val>
            <numRef>
              <f>'Monthly Dashboard'!$C$4:$C$15</f>
            </numRef>
          </val>
        </ser>
        <ser>
          <idx val="1"/>
          <order val="1"/>
          <tx>
            <strRef>
              <f>'Monthly Dashboard'!D3</f>
            </strRef>
          </tx>
          <spPr>
            <a:ln>
              <a:prstDash val="solid"/>
            </a:ln>
          </spPr>
          <cat>
            <numRef>
              <f>'Monthly Dashboard'!$A$4:$A$15</f>
            </numRef>
          </cat>
          <val>
            <numRef>
              <f>'Monthly Dashboard'!$D$4:$D$15</f>
            </numRef>
          </val>
        </ser>
        <gapWidth val="150"/>
        <axId val="10"/>
        <axId val="100"/>
      </bar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Amount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Payment Status Distribution</a:t>
            </a:r>
          </a:p>
        </rich>
      </tx>
    </title>
    <plotArea>
      <pieChart>
        <varyColors val="1"/>
        <ser>
          <idx val="0"/>
          <order val="0"/>
          <tx>
            <strRef>
              <f>'Monthly Dashboard'!L3</f>
            </strRef>
          </tx>
          <spPr>
            <a:ln>
              <a:prstDash val="solid"/>
            </a:ln>
          </spPr>
          <cat>
            <numRef>
              <f>'Monthly Dashboard'!$K$4:$K$8</f>
            </numRef>
          </cat>
          <val>
            <numRef>
              <f>'Monthly Dashboard'!$L$4:$L$8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17</row>
      <rowOff>0</rowOff>
    </from>
    <ext cx="7200000" cy="43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17</row>
      <rowOff>0</rowOff>
    </from>
    <ext cx="5040000" cy="43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C27"/>
  <sheetViews>
    <sheetView showGridLines="0" workbookViewId="0">
      <selection activeCell="A1" sqref="A1"/>
    </sheetView>
  </sheetViews>
  <sheetFormatPr baseColWidth="8" defaultRowHeight="15"/>
  <cols>
    <col width="2" customWidth="1" min="1" max="1"/>
    <col width="28" customWidth="1" min="2" max="2"/>
    <col width="60" customWidth="1" min="3" max="3"/>
  </cols>
  <sheetData>
    <row r="1" ht="8" customHeight="1"/>
    <row r="2" ht="32" customHeight="1">
      <c r="B2" s="1" t="inlineStr">
        <is>
          <t>Payment Review Tracker — User Guide</t>
        </is>
      </c>
    </row>
    <row r="3">
      <c r="B3" s="2" t="inlineStr">
        <is>
          <t>WorkSafeBC Payment Review &amp; Compliance | 2024</t>
        </is>
      </c>
    </row>
    <row r="5" ht="6" customHeight="1"/>
    <row r="6" ht="18" customHeight="1">
      <c r="B6" s="3" t="inlineStr">
        <is>
          <t>PURPOSE</t>
        </is>
      </c>
    </row>
    <row r="7" ht="30" customHeight="1">
      <c r="B7" s="4" t="inlineStr">
        <is>
          <t>What this tracker does</t>
        </is>
      </c>
      <c r="C7" s="5" t="inlineStr">
        <is>
          <t>Monitors monthly pension and allowance payments for 15 claimants across 12 months. Automatically flags discrepancies, missed payments, and late payments using Excel formulas and conditional formatting.</t>
        </is>
      </c>
    </row>
    <row r="8" ht="6" customHeight="1"/>
    <row r="9" ht="18" customHeight="1">
      <c r="B9" s="3" t="inlineStr">
        <is>
          <t>SHEETS</t>
        </is>
      </c>
    </row>
    <row r="10" ht="30" customHeight="1">
      <c r="B10" s="4" t="inlineStr">
        <is>
          <t>Payment Log</t>
        </is>
      </c>
      <c r="C10" s="5" t="inlineStr">
        <is>
          <t>Master data entry sheet. One row per claimant per month. Enter actual payment amounts and statuses here.</t>
        </is>
      </c>
    </row>
    <row r="11" ht="30" customHeight="1">
      <c r="B11" s="4" t="inlineStr">
        <is>
          <t>Claimant Summary</t>
        </is>
      </c>
      <c r="C11" s="5" t="inlineStr">
        <is>
          <t>Auto-calculated pivot-style summary per claimant using SUMIF/COUNTIF formulas. Shows totals, discrepancy counts, and risk level.</t>
        </is>
      </c>
    </row>
    <row r="12" ht="30" customHeight="1">
      <c r="B12" s="4" t="inlineStr">
        <is>
          <t>Monthly Dashboard</t>
        </is>
      </c>
      <c r="C12" s="5" t="inlineStr">
        <is>
          <t>Month-by-month KPIs: total disbursed, flag count, compliance rate. Includes charts.</t>
        </is>
      </c>
    </row>
    <row r="13" ht="30" customHeight="1">
      <c r="B13" s="4" t="inlineStr">
        <is>
          <t>Discrepancy Register</t>
        </is>
      </c>
      <c r="C13" s="5" t="inlineStr">
        <is>
          <t>Filtered view of all non-Paid transactions using Excel formulas. Review queue for the compliance team.</t>
        </is>
      </c>
    </row>
    <row r="14" ht="6" customHeight="1"/>
    <row r="15" ht="18" customHeight="1">
      <c r="B15" s="3" t="inlineStr">
        <is>
          <t>HOW TO USE</t>
        </is>
      </c>
    </row>
    <row r="16" ht="30" customHeight="1">
      <c r="B16" s="4" t="inlineStr">
        <is>
          <t>Step 1</t>
        </is>
      </c>
      <c r="C16" s="5" t="inlineStr">
        <is>
          <t>Go to Payment Log. Review pre-loaded 2024 data or replace with real data.</t>
        </is>
      </c>
    </row>
    <row r="17" ht="30" customHeight="1">
      <c r="B17" s="4" t="inlineStr">
        <is>
          <t>Step 2</t>
        </is>
      </c>
      <c r="C17" s="5" t="inlineStr">
        <is>
          <t>Discrepancy column auto-calculates (Actual - Expected). Red = overpayment, blue = underpayment.</t>
        </is>
      </c>
    </row>
    <row r="18" ht="30" customHeight="1">
      <c r="B18" s="4" t="inlineStr">
        <is>
          <t>Step 3</t>
        </is>
      </c>
      <c r="C18" s="5" t="inlineStr">
        <is>
          <t>Check Claimant Summary for high-risk claimants (2+ flags).</t>
        </is>
      </c>
    </row>
    <row r="19" ht="30" customHeight="1">
      <c r="B19" s="4" t="inlineStr">
        <is>
          <t>Step 4</t>
        </is>
      </c>
      <c r="C19" s="5" t="inlineStr">
        <is>
          <t>Use Discrepancy Register as your daily review queue — filter by month or status.</t>
        </is>
      </c>
    </row>
    <row r="20" ht="30" customHeight="1">
      <c r="B20" s="4" t="inlineStr">
        <is>
          <t>Step 5</t>
        </is>
      </c>
      <c r="C20" s="5" t="inlineStr">
        <is>
          <t>Run VBA macros (Alt+F8) to auto-format, generate letters list, or export flagged records.</t>
        </is>
      </c>
    </row>
    <row r="21" ht="6" customHeight="1"/>
    <row r="22" ht="18" customHeight="1">
      <c r="B22" s="3" t="inlineStr">
        <is>
          <t>KEY FORMULAS USED</t>
        </is>
      </c>
    </row>
    <row r="23" ht="30" customHeight="1">
      <c r="B23" s="4" t="inlineStr">
        <is>
          <t>SUMIF</t>
        </is>
      </c>
      <c r="C23" s="5" t="inlineStr">
        <is>
          <t>Aggregates payments per claimant or month</t>
        </is>
      </c>
    </row>
    <row r="24" ht="30" customHeight="1">
      <c r="B24" s="4" t="inlineStr">
        <is>
          <t>COUNTIF / COUNTIFS</t>
        </is>
      </c>
      <c r="C24" s="5" t="inlineStr">
        <is>
          <t>Counts flags, statuses, and discrepancies</t>
        </is>
      </c>
    </row>
    <row r="25" ht="30" customHeight="1">
      <c r="B25" s="4" t="inlineStr">
        <is>
          <t>IF + AND</t>
        </is>
      </c>
      <c r="C25" s="5" t="inlineStr">
        <is>
          <t>Determines risk level based on flag count thresholds</t>
        </is>
      </c>
    </row>
    <row r="26" ht="30" customHeight="1">
      <c r="B26" s="4" t="inlineStr">
        <is>
          <t>IFERROR</t>
        </is>
      </c>
      <c r="C26" s="5" t="inlineStr">
        <is>
          <t>Prevents #DIV/0! and #N/A errors in summary calculations</t>
        </is>
      </c>
    </row>
    <row r="27" ht="30" customHeight="1">
      <c r="B27" s="4" t="inlineStr">
        <is>
          <t>Conditional Formatting</t>
        </is>
      </c>
      <c r="C27" s="5" t="inlineStr">
        <is>
          <t>Color-codes status cells and discrepancy amounts automatically</t>
        </is>
      </c>
    </row>
  </sheetData>
  <mergeCells count="6">
    <mergeCell ref="B6:C6"/>
    <mergeCell ref="B2:C2"/>
    <mergeCell ref="B15:C15"/>
    <mergeCell ref="B3:C3"/>
    <mergeCell ref="B22:C22"/>
    <mergeCell ref="B9:C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3"/>
  <sheetViews>
    <sheetView showGridLines="0" workbookViewId="0">
      <pane ySplit="3" topLeftCell="A4" activePane="bottomLeft" state="frozen"/>
      <selection pane="bottomLeft" activeCell="A1" sqref="A1"/>
    </sheetView>
  </sheetViews>
  <sheetFormatPr baseColWidth="8" defaultRowHeight="15"/>
  <cols>
    <col width="45" customWidth="1" min="1" max="1"/>
    <col width="22" customWidth="1" min="2" max="2"/>
    <col width="12" customWidth="1" min="3" max="3"/>
    <col width="8" customWidth="1" min="4" max="4"/>
    <col width="10" customWidth="1" min="5" max="5"/>
    <col width="15" customWidth="1" min="6" max="6"/>
    <col width="13" customWidth="1" min="7" max="7"/>
    <col width="18" customWidth="1" min="8" max="8"/>
    <col width="15" customWidth="1" min="9" max="9"/>
    <col width="14" customWidth="1" min="10" max="10"/>
    <col width="30" customWidth="1" min="11" max="11"/>
  </cols>
  <sheetData>
    <row r="1" ht="28" customHeight="1">
      <c r="A1" s="6" t="inlineStr">
        <is>
          <t>Payment Log — 2024 Monthly Payment Records</t>
        </is>
      </c>
    </row>
    <row r="2">
      <c r="A2" s="7" t="inlineStr">
        <is>
          <t>All amounts in CAD. Discrepancy = Actual – Expected. Negative = underpayment. Positive = overpayment.</t>
        </is>
      </c>
    </row>
    <row r="3">
      <c r="A3" s="8" t="inlineStr">
        <is>
          <t>Claimant ID</t>
        </is>
      </c>
      <c r="B3" s="8" t="inlineStr">
        <is>
          <t>Claimant Name</t>
        </is>
      </c>
      <c r="C3" s="8" t="inlineStr">
        <is>
          <t>Type</t>
        </is>
      </c>
      <c r="D3" s="8" t="inlineStr">
        <is>
          <t>Month</t>
        </is>
      </c>
      <c r="E3" s="8" t="inlineStr">
        <is>
          <t>Month #</t>
        </is>
      </c>
      <c r="F3" s="8" t="inlineStr">
        <is>
          <t>Expected ($)</t>
        </is>
      </c>
      <c r="G3" s="8" t="inlineStr">
        <is>
          <t>Actual ($)</t>
        </is>
      </c>
      <c r="H3" s="8" t="inlineStr">
        <is>
          <t>Discrepancy ($)</t>
        </is>
      </c>
      <c r="I3" s="8" t="inlineStr">
        <is>
          <t>Status</t>
        </is>
      </c>
      <c r="J3" s="8" t="inlineStr">
        <is>
          <t>Reviewed By</t>
        </is>
      </c>
      <c r="K3" s="8" t="inlineStr">
        <is>
          <t>Notes</t>
        </is>
      </c>
    </row>
    <row r="4">
      <c r="A4" s="9" t="inlineStr">
        <is>
          <t>P001</t>
        </is>
      </c>
      <c r="B4" s="10" t="inlineStr">
        <is>
          <t>Margaret Allen</t>
        </is>
      </c>
      <c r="C4" s="9" t="inlineStr">
        <is>
          <t>Pension</t>
        </is>
      </c>
      <c r="D4" s="9" t="inlineStr">
        <is>
          <t>Jan</t>
        </is>
      </c>
      <c r="E4" s="9" t="n">
        <v>1</v>
      </c>
      <c r="F4" s="11" t="n">
        <v>2122.49</v>
      </c>
      <c r="G4" s="11" t="n">
        <v>2122.49</v>
      </c>
      <c r="H4" s="12">
        <f>G4-F4</f>
        <v/>
      </c>
      <c r="I4" s="13" t="inlineStr">
        <is>
          <t>Paid</t>
        </is>
      </c>
      <c r="J4" s="9" t="inlineStr">
        <is>
          <t>EMP04</t>
        </is>
      </c>
      <c r="K4" s="10" t="inlineStr"/>
    </row>
    <row r="5">
      <c r="A5" s="14" t="inlineStr">
        <is>
          <t>P001</t>
        </is>
      </c>
      <c r="B5" s="15" t="inlineStr">
        <is>
          <t>Margaret Allen</t>
        </is>
      </c>
      <c r="C5" s="14" t="inlineStr">
        <is>
          <t>Pension</t>
        </is>
      </c>
      <c r="D5" s="14" t="inlineStr">
        <is>
          <t>Feb</t>
        </is>
      </c>
      <c r="E5" s="14" t="n">
        <v>2</v>
      </c>
      <c r="F5" s="16" t="n">
        <v>2122.49</v>
      </c>
      <c r="G5" s="16" t="n">
        <v>2122.49</v>
      </c>
      <c r="H5" s="12">
        <f>G5-F5</f>
        <v/>
      </c>
      <c r="I5" s="13" t="inlineStr">
        <is>
          <t>Paid</t>
        </is>
      </c>
      <c r="J5" s="14" t="inlineStr">
        <is>
          <t>EMP01</t>
        </is>
      </c>
      <c r="K5" s="15" t="inlineStr"/>
    </row>
    <row r="6">
      <c r="A6" s="9" t="inlineStr">
        <is>
          <t>P001</t>
        </is>
      </c>
      <c r="B6" s="10" t="inlineStr">
        <is>
          <t>Margaret Allen</t>
        </is>
      </c>
      <c r="C6" s="9" t="inlineStr">
        <is>
          <t>Pension</t>
        </is>
      </c>
      <c r="D6" s="9" t="inlineStr">
        <is>
          <t>Mar</t>
        </is>
      </c>
      <c r="E6" s="9" t="n">
        <v>3</v>
      </c>
      <c r="F6" s="11" t="n">
        <v>2122.49</v>
      </c>
      <c r="G6" s="11" t="n">
        <v>1141.16</v>
      </c>
      <c r="H6" s="17">
        <f>G6-F6</f>
        <v/>
      </c>
      <c r="I6" s="18" t="inlineStr">
        <is>
          <t>Under Review</t>
        </is>
      </c>
      <c r="J6" s="9" t="inlineStr">
        <is>
          <t>EMP05</t>
        </is>
      </c>
      <c r="K6" s="10" t="inlineStr">
        <is>
          <t>Awaiting confirmation</t>
        </is>
      </c>
    </row>
    <row r="7">
      <c r="A7" s="14" t="inlineStr">
        <is>
          <t>P001</t>
        </is>
      </c>
      <c r="B7" s="15" t="inlineStr">
        <is>
          <t>Margaret Allen</t>
        </is>
      </c>
      <c r="C7" s="14" t="inlineStr">
        <is>
          <t>Pension</t>
        </is>
      </c>
      <c r="D7" s="14" t="inlineStr">
        <is>
          <t>Apr</t>
        </is>
      </c>
      <c r="E7" s="14" t="n">
        <v>4</v>
      </c>
      <c r="F7" s="16" t="n">
        <v>2122.49</v>
      </c>
      <c r="G7" s="16" t="n">
        <v>2122.49</v>
      </c>
      <c r="H7" s="12">
        <f>G7-F7</f>
        <v/>
      </c>
      <c r="I7" s="13" t="inlineStr">
        <is>
          <t>Paid</t>
        </is>
      </c>
      <c r="J7" s="14" t="inlineStr">
        <is>
          <t>EMP05</t>
        </is>
      </c>
      <c r="K7" s="15" t="inlineStr"/>
    </row>
    <row r="8">
      <c r="A8" s="9" t="inlineStr">
        <is>
          <t>P001</t>
        </is>
      </c>
      <c r="B8" s="10" t="inlineStr">
        <is>
          <t>Margaret Allen</t>
        </is>
      </c>
      <c r="C8" s="9" t="inlineStr">
        <is>
          <t>Pension</t>
        </is>
      </c>
      <c r="D8" s="9" t="inlineStr">
        <is>
          <t>May</t>
        </is>
      </c>
      <c r="E8" s="9" t="n">
        <v>5</v>
      </c>
      <c r="F8" s="11" t="n">
        <v>2122.49</v>
      </c>
      <c r="G8" s="11" t="n">
        <v>2122.49</v>
      </c>
      <c r="H8" s="12">
        <f>G8-F8</f>
        <v/>
      </c>
      <c r="I8" s="13" t="inlineStr">
        <is>
          <t>Paid</t>
        </is>
      </c>
      <c r="J8" s="9" t="inlineStr">
        <is>
          <t>EMP01</t>
        </is>
      </c>
      <c r="K8" s="10" t="inlineStr"/>
    </row>
    <row r="9">
      <c r="A9" s="14" t="inlineStr">
        <is>
          <t>P001</t>
        </is>
      </c>
      <c r="B9" s="15" t="inlineStr">
        <is>
          <t>Margaret Allen</t>
        </is>
      </c>
      <c r="C9" s="14" t="inlineStr">
        <is>
          <t>Pension</t>
        </is>
      </c>
      <c r="D9" s="14" t="inlineStr">
        <is>
          <t>Jun</t>
        </is>
      </c>
      <c r="E9" s="14" t="n">
        <v>6</v>
      </c>
      <c r="F9" s="16" t="n">
        <v>2122.49</v>
      </c>
      <c r="G9" s="16" t="n">
        <v>2122.49</v>
      </c>
      <c r="H9" s="12">
        <f>G9-F9</f>
        <v/>
      </c>
      <c r="I9" s="13" t="inlineStr">
        <is>
          <t>Paid</t>
        </is>
      </c>
      <c r="J9" s="14" t="inlineStr">
        <is>
          <t>EMP04</t>
        </is>
      </c>
      <c r="K9" s="15" t="inlineStr"/>
    </row>
    <row r="10">
      <c r="A10" s="9" t="inlineStr">
        <is>
          <t>P001</t>
        </is>
      </c>
      <c r="B10" s="10" t="inlineStr">
        <is>
          <t>Margaret Allen</t>
        </is>
      </c>
      <c r="C10" s="9" t="inlineStr">
        <is>
          <t>Pension</t>
        </is>
      </c>
      <c r="D10" s="9" t="inlineStr">
        <is>
          <t>Jul</t>
        </is>
      </c>
      <c r="E10" s="9" t="n">
        <v>7</v>
      </c>
      <c r="F10" s="11" t="n">
        <v>2122.49</v>
      </c>
      <c r="G10" s="11" t="n">
        <v>2122.49</v>
      </c>
      <c r="H10" s="12">
        <f>G10-F10</f>
        <v/>
      </c>
      <c r="I10" s="19" t="inlineStr">
        <is>
          <t>Late</t>
        </is>
      </c>
      <c r="J10" s="9" t="inlineStr">
        <is>
          <t>EMP01</t>
        </is>
      </c>
      <c r="K10" s="10" t="inlineStr"/>
    </row>
    <row r="11">
      <c r="A11" s="14" t="inlineStr">
        <is>
          <t>P001</t>
        </is>
      </c>
      <c r="B11" s="15" t="inlineStr">
        <is>
          <t>Margaret Allen</t>
        </is>
      </c>
      <c r="C11" s="14" t="inlineStr">
        <is>
          <t>Pension</t>
        </is>
      </c>
      <c r="D11" s="14" t="inlineStr">
        <is>
          <t>Aug</t>
        </is>
      </c>
      <c r="E11" s="14" t="n">
        <v>8</v>
      </c>
      <c r="F11" s="16" t="n">
        <v>2122.49</v>
      </c>
      <c r="G11" s="16" t="n">
        <v>2122.49</v>
      </c>
      <c r="H11" s="12">
        <f>G11-F11</f>
        <v/>
      </c>
      <c r="I11" s="13" t="inlineStr">
        <is>
          <t>Paid</t>
        </is>
      </c>
      <c r="J11" s="14" t="inlineStr">
        <is>
          <t>EMP01</t>
        </is>
      </c>
      <c r="K11" s="15" t="inlineStr"/>
    </row>
    <row r="12">
      <c r="A12" s="9" t="inlineStr">
        <is>
          <t>P001</t>
        </is>
      </c>
      <c r="B12" s="10" t="inlineStr">
        <is>
          <t>Margaret Allen</t>
        </is>
      </c>
      <c r="C12" s="9" t="inlineStr">
        <is>
          <t>Pension</t>
        </is>
      </c>
      <c r="D12" s="9" t="inlineStr">
        <is>
          <t>Sep</t>
        </is>
      </c>
      <c r="E12" s="9" t="n">
        <v>9</v>
      </c>
      <c r="F12" s="11" t="n">
        <v>2122.49</v>
      </c>
      <c r="G12" s="11" t="n">
        <v>1421.66</v>
      </c>
      <c r="H12" s="17">
        <f>G12-F12</f>
        <v/>
      </c>
      <c r="I12" s="18" t="inlineStr">
        <is>
          <t>Under Review</t>
        </is>
      </c>
      <c r="J12" s="9" t="inlineStr">
        <is>
          <t>EMP05</t>
        </is>
      </c>
      <c r="K12" s="10" t="inlineStr">
        <is>
          <t>Awaiting confirmation</t>
        </is>
      </c>
    </row>
    <row r="13">
      <c r="A13" s="14" t="inlineStr">
        <is>
          <t>P001</t>
        </is>
      </c>
      <c r="B13" s="15" t="inlineStr">
        <is>
          <t>Margaret Allen</t>
        </is>
      </c>
      <c r="C13" s="14" t="inlineStr">
        <is>
          <t>Pension</t>
        </is>
      </c>
      <c r="D13" s="14" t="inlineStr">
        <is>
          <t>Oct</t>
        </is>
      </c>
      <c r="E13" s="14" t="n">
        <v>10</v>
      </c>
      <c r="F13" s="16" t="n">
        <v>2122.49</v>
      </c>
      <c r="G13" s="16" t="n">
        <v>2122.49</v>
      </c>
      <c r="H13" s="12">
        <f>G13-F13</f>
        <v/>
      </c>
      <c r="I13" s="13" t="inlineStr">
        <is>
          <t>Paid</t>
        </is>
      </c>
      <c r="J13" s="14" t="inlineStr">
        <is>
          <t>EMP02</t>
        </is>
      </c>
      <c r="K13" s="15" t="inlineStr"/>
    </row>
    <row r="14">
      <c r="A14" s="9" t="inlineStr">
        <is>
          <t>P001</t>
        </is>
      </c>
      <c r="B14" s="10" t="inlineStr">
        <is>
          <t>Margaret Allen</t>
        </is>
      </c>
      <c r="C14" s="9" t="inlineStr">
        <is>
          <t>Pension</t>
        </is>
      </c>
      <c r="D14" s="9" t="inlineStr">
        <is>
          <t>Nov</t>
        </is>
      </c>
      <c r="E14" s="9" t="n">
        <v>11</v>
      </c>
      <c r="F14" s="11" t="n">
        <v>2122.49</v>
      </c>
      <c r="G14" s="11" t="n">
        <v>2837.61</v>
      </c>
      <c r="H14" s="20">
        <f>G14-F14</f>
        <v/>
      </c>
      <c r="I14" s="21" t="inlineStr">
        <is>
          <t>Discrepancy</t>
        </is>
      </c>
      <c r="J14" s="9" t="inlineStr">
        <is>
          <t>EMP05</t>
        </is>
      </c>
      <c r="K14" s="10" t="inlineStr">
        <is>
          <t>Awaiting confirmation</t>
        </is>
      </c>
    </row>
    <row r="15">
      <c r="A15" s="14" t="inlineStr">
        <is>
          <t>P001</t>
        </is>
      </c>
      <c r="B15" s="15" t="inlineStr">
        <is>
          <t>Margaret Allen</t>
        </is>
      </c>
      <c r="C15" s="14" t="inlineStr">
        <is>
          <t>Pension</t>
        </is>
      </c>
      <c r="D15" s="14" t="inlineStr">
        <is>
          <t>Dec</t>
        </is>
      </c>
      <c r="E15" s="14" t="n">
        <v>12</v>
      </c>
      <c r="F15" s="16" t="n">
        <v>2122.49</v>
      </c>
      <c r="G15" s="16" t="n">
        <v>2545.23</v>
      </c>
      <c r="H15" s="20">
        <f>G15-F15</f>
        <v/>
      </c>
      <c r="I15" s="21" t="inlineStr">
        <is>
          <t>Discrepancy</t>
        </is>
      </c>
      <c r="J15" s="14" t="inlineStr">
        <is>
          <t>EMP02</t>
        </is>
      </c>
      <c r="K15" s="15" t="inlineStr">
        <is>
          <t>Awaiting confirmation</t>
        </is>
      </c>
    </row>
    <row r="16">
      <c r="A16" s="9" t="inlineStr">
        <is>
          <t>P002</t>
        </is>
      </c>
      <c r="B16" s="10" t="inlineStr">
        <is>
          <t>Robert Nguyen</t>
        </is>
      </c>
      <c r="C16" s="9" t="inlineStr">
        <is>
          <t>Pension</t>
        </is>
      </c>
      <c r="D16" s="9" t="inlineStr">
        <is>
          <t>Jan</t>
        </is>
      </c>
      <c r="E16" s="9" t="n">
        <v>1</v>
      </c>
      <c r="F16" s="11" t="n">
        <v>2000.5</v>
      </c>
      <c r="G16" s="11" t="n">
        <v>2000.5</v>
      </c>
      <c r="H16" s="12">
        <f>G16-F16</f>
        <v/>
      </c>
      <c r="I16" s="13" t="inlineStr">
        <is>
          <t>Paid</t>
        </is>
      </c>
      <c r="J16" s="9" t="inlineStr">
        <is>
          <t>EMP03</t>
        </is>
      </c>
      <c r="K16" s="10" t="inlineStr"/>
    </row>
    <row r="17">
      <c r="A17" s="14" t="inlineStr">
        <is>
          <t>P002</t>
        </is>
      </c>
      <c r="B17" s="15" t="inlineStr">
        <is>
          <t>Robert Nguyen</t>
        </is>
      </c>
      <c r="C17" s="14" t="inlineStr">
        <is>
          <t>Pension</t>
        </is>
      </c>
      <c r="D17" s="14" t="inlineStr">
        <is>
          <t>Feb</t>
        </is>
      </c>
      <c r="E17" s="14" t="n">
        <v>2</v>
      </c>
      <c r="F17" s="16" t="n">
        <v>2000.5</v>
      </c>
      <c r="G17" s="16" t="n">
        <v>2000.5</v>
      </c>
      <c r="H17" s="12">
        <f>G17-F17</f>
        <v/>
      </c>
      <c r="I17" s="19" t="inlineStr">
        <is>
          <t>Late</t>
        </is>
      </c>
      <c r="J17" s="14" t="inlineStr">
        <is>
          <t>EMP02</t>
        </is>
      </c>
      <c r="K17" s="15" t="inlineStr"/>
    </row>
    <row r="18">
      <c r="A18" s="9" t="inlineStr">
        <is>
          <t>P002</t>
        </is>
      </c>
      <c r="B18" s="10" t="inlineStr">
        <is>
          <t>Robert Nguyen</t>
        </is>
      </c>
      <c r="C18" s="9" t="inlineStr">
        <is>
          <t>Pension</t>
        </is>
      </c>
      <c r="D18" s="9" t="inlineStr">
        <is>
          <t>Mar</t>
        </is>
      </c>
      <c r="E18" s="9" t="n">
        <v>3</v>
      </c>
      <c r="F18" s="11" t="n">
        <v>2000.5</v>
      </c>
      <c r="G18" s="11" t="n">
        <v>1094.51</v>
      </c>
      <c r="H18" s="17">
        <f>G18-F18</f>
        <v/>
      </c>
      <c r="I18" s="18" t="inlineStr">
        <is>
          <t>Under Review</t>
        </is>
      </c>
      <c r="J18" s="9" t="inlineStr">
        <is>
          <t>EMP03</t>
        </is>
      </c>
      <c r="K18" s="10" t="inlineStr">
        <is>
          <t>Awaiting confirmation</t>
        </is>
      </c>
    </row>
    <row r="19">
      <c r="A19" s="14" t="inlineStr">
        <is>
          <t>P002</t>
        </is>
      </c>
      <c r="B19" s="15" t="inlineStr">
        <is>
          <t>Robert Nguyen</t>
        </is>
      </c>
      <c r="C19" s="14" t="inlineStr">
        <is>
          <t>Pension</t>
        </is>
      </c>
      <c r="D19" s="14" t="inlineStr">
        <is>
          <t>Apr</t>
        </is>
      </c>
      <c r="E19" s="14" t="n">
        <v>4</v>
      </c>
      <c r="F19" s="16" t="n">
        <v>2000.5</v>
      </c>
      <c r="G19" s="16" t="n">
        <v>1653.31</v>
      </c>
      <c r="H19" s="17">
        <f>G19-F19</f>
        <v/>
      </c>
      <c r="I19" s="18" t="inlineStr">
        <is>
          <t>Under Review</t>
        </is>
      </c>
      <c r="J19" s="14" t="inlineStr">
        <is>
          <t>EMP02</t>
        </is>
      </c>
      <c r="K19" s="15" t="inlineStr">
        <is>
          <t>Awaiting confirmation</t>
        </is>
      </c>
    </row>
    <row r="20">
      <c r="A20" s="9" t="inlineStr">
        <is>
          <t>P002</t>
        </is>
      </c>
      <c r="B20" s="10" t="inlineStr">
        <is>
          <t>Robert Nguyen</t>
        </is>
      </c>
      <c r="C20" s="9" t="inlineStr">
        <is>
          <t>Pension</t>
        </is>
      </c>
      <c r="D20" s="9" t="inlineStr">
        <is>
          <t>May</t>
        </is>
      </c>
      <c r="E20" s="9" t="n">
        <v>5</v>
      </c>
      <c r="F20" s="11" t="n">
        <v>2000.5</v>
      </c>
      <c r="G20" s="11" t="n">
        <v>2000.5</v>
      </c>
      <c r="H20" s="12">
        <f>G20-F20</f>
        <v/>
      </c>
      <c r="I20" s="13" t="inlineStr">
        <is>
          <t>Paid</t>
        </is>
      </c>
      <c r="J20" s="9" t="inlineStr">
        <is>
          <t>EMP05</t>
        </is>
      </c>
      <c r="K20" s="10" t="inlineStr"/>
    </row>
    <row r="21">
      <c r="A21" s="14" t="inlineStr">
        <is>
          <t>P002</t>
        </is>
      </c>
      <c r="B21" s="15" t="inlineStr">
        <is>
          <t>Robert Nguyen</t>
        </is>
      </c>
      <c r="C21" s="14" t="inlineStr">
        <is>
          <t>Pension</t>
        </is>
      </c>
      <c r="D21" s="14" t="inlineStr">
        <is>
          <t>Jun</t>
        </is>
      </c>
      <c r="E21" s="14" t="n">
        <v>6</v>
      </c>
      <c r="F21" s="16" t="n">
        <v>2000.5</v>
      </c>
      <c r="G21" s="16" t="n">
        <v>2520.09</v>
      </c>
      <c r="H21" s="20">
        <f>G21-F21</f>
        <v/>
      </c>
      <c r="I21" s="21" t="inlineStr">
        <is>
          <t>Discrepancy</t>
        </is>
      </c>
      <c r="J21" s="14" t="inlineStr">
        <is>
          <t>EMP03</t>
        </is>
      </c>
      <c r="K21" s="15" t="inlineStr">
        <is>
          <t>Awaiting confirmation</t>
        </is>
      </c>
    </row>
    <row r="22">
      <c r="A22" s="9" t="inlineStr">
        <is>
          <t>P002</t>
        </is>
      </c>
      <c r="B22" s="10" t="inlineStr">
        <is>
          <t>Robert Nguyen</t>
        </is>
      </c>
      <c r="C22" s="9" t="inlineStr">
        <is>
          <t>Pension</t>
        </is>
      </c>
      <c r="D22" s="9" t="inlineStr">
        <is>
          <t>Jul</t>
        </is>
      </c>
      <c r="E22" s="9" t="n">
        <v>7</v>
      </c>
      <c r="F22" s="11" t="n">
        <v>2000.5</v>
      </c>
      <c r="G22" s="11" t="n">
        <v>2000.5</v>
      </c>
      <c r="H22" s="12">
        <f>G22-F22</f>
        <v/>
      </c>
      <c r="I22" s="13" t="inlineStr">
        <is>
          <t>Paid</t>
        </is>
      </c>
      <c r="J22" s="9" t="inlineStr">
        <is>
          <t>EMP05</t>
        </is>
      </c>
      <c r="K22" s="10" t="inlineStr"/>
    </row>
    <row r="23">
      <c r="A23" s="14" t="inlineStr">
        <is>
          <t>P002</t>
        </is>
      </c>
      <c r="B23" s="15" t="inlineStr">
        <is>
          <t>Robert Nguyen</t>
        </is>
      </c>
      <c r="C23" s="14" t="inlineStr">
        <is>
          <t>Pension</t>
        </is>
      </c>
      <c r="D23" s="14" t="inlineStr">
        <is>
          <t>Aug</t>
        </is>
      </c>
      <c r="E23" s="14" t="n">
        <v>8</v>
      </c>
      <c r="F23" s="16" t="n">
        <v>2000.5</v>
      </c>
      <c r="G23" s="16" t="n">
        <v>2000.5</v>
      </c>
      <c r="H23" s="12">
        <f>G23-F23</f>
        <v/>
      </c>
      <c r="I23" s="13" t="inlineStr">
        <is>
          <t>Paid</t>
        </is>
      </c>
      <c r="J23" s="14" t="inlineStr">
        <is>
          <t>EMP05</t>
        </is>
      </c>
      <c r="K23" s="15" t="inlineStr"/>
    </row>
    <row r="24">
      <c r="A24" s="9" t="inlineStr">
        <is>
          <t>P002</t>
        </is>
      </c>
      <c r="B24" s="10" t="inlineStr">
        <is>
          <t>Robert Nguyen</t>
        </is>
      </c>
      <c r="C24" s="9" t="inlineStr">
        <is>
          <t>Pension</t>
        </is>
      </c>
      <c r="D24" s="9" t="inlineStr">
        <is>
          <t>Sep</t>
        </is>
      </c>
      <c r="E24" s="9" t="n">
        <v>9</v>
      </c>
      <c r="F24" s="11" t="n">
        <v>2000.5</v>
      </c>
      <c r="G24" s="11" t="n">
        <v>2000.5</v>
      </c>
      <c r="H24" s="12">
        <f>G24-F24</f>
        <v/>
      </c>
      <c r="I24" s="13" t="inlineStr">
        <is>
          <t>Paid</t>
        </is>
      </c>
      <c r="J24" s="9" t="inlineStr">
        <is>
          <t>EMP05</t>
        </is>
      </c>
      <c r="K24" s="10" t="inlineStr"/>
    </row>
    <row r="25">
      <c r="A25" s="14" t="inlineStr">
        <is>
          <t>P002</t>
        </is>
      </c>
      <c r="B25" s="15" t="inlineStr">
        <is>
          <t>Robert Nguyen</t>
        </is>
      </c>
      <c r="C25" s="14" t="inlineStr">
        <is>
          <t>Pension</t>
        </is>
      </c>
      <c r="D25" s="14" t="inlineStr">
        <is>
          <t>Oct</t>
        </is>
      </c>
      <c r="E25" s="14" t="n">
        <v>10</v>
      </c>
      <c r="F25" s="16" t="n">
        <v>2000.5</v>
      </c>
      <c r="G25" s="16" t="n">
        <v>2000.5</v>
      </c>
      <c r="H25" s="12">
        <f>G25-F25</f>
        <v/>
      </c>
      <c r="I25" s="13" t="inlineStr">
        <is>
          <t>Paid</t>
        </is>
      </c>
      <c r="J25" s="14" t="inlineStr">
        <is>
          <t>EMP04</t>
        </is>
      </c>
      <c r="K25" s="15" t="inlineStr"/>
    </row>
    <row r="26">
      <c r="A26" s="9" t="inlineStr">
        <is>
          <t>P002</t>
        </is>
      </c>
      <c r="B26" s="10" t="inlineStr">
        <is>
          <t>Robert Nguyen</t>
        </is>
      </c>
      <c r="C26" s="9" t="inlineStr">
        <is>
          <t>Pension</t>
        </is>
      </c>
      <c r="D26" s="9" t="inlineStr">
        <is>
          <t>Nov</t>
        </is>
      </c>
      <c r="E26" s="9" t="n">
        <v>11</v>
      </c>
      <c r="F26" s="11" t="n">
        <v>2000.5</v>
      </c>
      <c r="G26" s="11" t="n">
        <v>1342.41</v>
      </c>
      <c r="H26" s="17">
        <f>G26-F26</f>
        <v/>
      </c>
      <c r="I26" s="18" t="inlineStr">
        <is>
          <t>Under Review</t>
        </is>
      </c>
      <c r="J26" s="9" t="inlineStr">
        <is>
          <t>EMP03</t>
        </is>
      </c>
      <c r="K26" s="10" t="inlineStr">
        <is>
          <t>Awaiting confirmation</t>
        </is>
      </c>
    </row>
    <row r="27">
      <c r="A27" s="14" t="inlineStr">
        <is>
          <t>P002</t>
        </is>
      </c>
      <c r="B27" s="15" t="inlineStr">
        <is>
          <t>Robert Nguyen</t>
        </is>
      </c>
      <c r="C27" s="14" t="inlineStr">
        <is>
          <t>Pension</t>
        </is>
      </c>
      <c r="D27" s="14" t="inlineStr">
        <is>
          <t>Dec</t>
        </is>
      </c>
      <c r="E27" s="14" t="n">
        <v>12</v>
      </c>
      <c r="F27" s="16" t="n">
        <v>2000.5</v>
      </c>
      <c r="G27" s="16" t="n">
        <v>0</v>
      </c>
      <c r="H27" s="17">
        <f>G27-F27</f>
        <v/>
      </c>
      <c r="I27" s="21" t="inlineStr">
        <is>
          <t>Missed</t>
        </is>
      </c>
      <c r="J27" s="14" t="inlineStr">
        <is>
          <t>EMP05</t>
        </is>
      </c>
      <c r="K27" s="15" t="inlineStr"/>
    </row>
    <row r="28">
      <c r="A28" s="9" t="inlineStr">
        <is>
          <t>P003</t>
        </is>
      </c>
      <c r="B28" s="10" t="inlineStr">
        <is>
          <t>Susan Park</t>
        </is>
      </c>
      <c r="C28" s="9" t="inlineStr">
        <is>
          <t>Allowance</t>
        </is>
      </c>
      <c r="D28" s="9" t="inlineStr">
        <is>
          <t>Jan</t>
        </is>
      </c>
      <c r="E28" s="9" t="n">
        <v>1</v>
      </c>
      <c r="F28" s="11" t="n">
        <v>1572.8</v>
      </c>
      <c r="G28" s="11" t="n">
        <v>1572.8</v>
      </c>
      <c r="H28" s="12">
        <f>G28-F28</f>
        <v/>
      </c>
      <c r="I28" s="13" t="inlineStr">
        <is>
          <t>Paid</t>
        </is>
      </c>
      <c r="J28" s="9" t="inlineStr">
        <is>
          <t>EMP03</t>
        </is>
      </c>
      <c r="K28" s="10" t="inlineStr"/>
    </row>
    <row r="29">
      <c r="A29" s="14" t="inlineStr">
        <is>
          <t>P003</t>
        </is>
      </c>
      <c r="B29" s="15" t="inlineStr">
        <is>
          <t>Susan Park</t>
        </is>
      </c>
      <c r="C29" s="14" t="inlineStr">
        <is>
          <t>Allowance</t>
        </is>
      </c>
      <c r="D29" s="14" t="inlineStr">
        <is>
          <t>Feb</t>
        </is>
      </c>
      <c r="E29" s="14" t="n">
        <v>2</v>
      </c>
      <c r="F29" s="16" t="n">
        <v>1572.8</v>
      </c>
      <c r="G29" s="16" t="n">
        <v>1572.8</v>
      </c>
      <c r="H29" s="12">
        <f>G29-F29</f>
        <v/>
      </c>
      <c r="I29" s="13" t="inlineStr">
        <is>
          <t>Paid</t>
        </is>
      </c>
      <c r="J29" s="14" t="inlineStr">
        <is>
          <t>EMP02</t>
        </is>
      </c>
      <c r="K29" s="15" t="inlineStr"/>
    </row>
    <row r="30">
      <c r="A30" s="9" t="inlineStr">
        <is>
          <t>P003</t>
        </is>
      </c>
      <c r="B30" s="10" t="inlineStr">
        <is>
          <t>Susan Park</t>
        </is>
      </c>
      <c r="C30" s="9" t="inlineStr">
        <is>
          <t>Allowance</t>
        </is>
      </c>
      <c r="D30" s="9" t="inlineStr">
        <is>
          <t>Mar</t>
        </is>
      </c>
      <c r="E30" s="9" t="n">
        <v>3</v>
      </c>
      <c r="F30" s="11" t="n">
        <v>1572.8</v>
      </c>
      <c r="G30" s="11" t="n">
        <v>1572.8</v>
      </c>
      <c r="H30" s="12">
        <f>G30-F30</f>
        <v/>
      </c>
      <c r="I30" s="13" t="inlineStr">
        <is>
          <t>Paid</t>
        </is>
      </c>
      <c r="J30" s="9" t="inlineStr">
        <is>
          <t>EMP01</t>
        </is>
      </c>
      <c r="K30" s="10" t="inlineStr"/>
    </row>
    <row r="31">
      <c r="A31" s="14" t="inlineStr">
        <is>
          <t>P003</t>
        </is>
      </c>
      <c r="B31" s="15" t="inlineStr">
        <is>
          <t>Susan Park</t>
        </is>
      </c>
      <c r="C31" s="14" t="inlineStr">
        <is>
          <t>Allowance</t>
        </is>
      </c>
      <c r="D31" s="14" t="inlineStr">
        <is>
          <t>Apr</t>
        </is>
      </c>
      <c r="E31" s="14" t="n">
        <v>4</v>
      </c>
      <c r="F31" s="16" t="n">
        <v>1572.8</v>
      </c>
      <c r="G31" s="16" t="n">
        <v>1848.14</v>
      </c>
      <c r="H31" s="20">
        <f>G31-F31</f>
        <v/>
      </c>
      <c r="I31" s="21" t="inlineStr">
        <is>
          <t>Discrepancy</t>
        </is>
      </c>
      <c r="J31" s="14" t="inlineStr">
        <is>
          <t>EMP04</t>
        </is>
      </c>
      <c r="K31" s="15" t="inlineStr">
        <is>
          <t>Awaiting confirmation</t>
        </is>
      </c>
    </row>
    <row r="32">
      <c r="A32" s="9" t="inlineStr">
        <is>
          <t>P003</t>
        </is>
      </c>
      <c r="B32" s="10" t="inlineStr">
        <is>
          <t>Susan Park</t>
        </is>
      </c>
      <c r="C32" s="9" t="inlineStr">
        <is>
          <t>Allowance</t>
        </is>
      </c>
      <c r="D32" s="9" t="inlineStr">
        <is>
          <t>May</t>
        </is>
      </c>
      <c r="E32" s="9" t="n">
        <v>5</v>
      </c>
      <c r="F32" s="11" t="n">
        <v>1572.8</v>
      </c>
      <c r="G32" s="11" t="n">
        <v>1572.8</v>
      </c>
      <c r="H32" s="12">
        <f>G32-F32</f>
        <v/>
      </c>
      <c r="I32" s="13" t="inlineStr">
        <is>
          <t>Paid</t>
        </is>
      </c>
      <c r="J32" s="9" t="inlineStr">
        <is>
          <t>EMP04</t>
        </is>
      </c>
      <c r="K32" s="10" t="inlineStr"/>
    </row>
    <row r="33">
      <c r="A33" s="14" t="inlineStr">
        <is>
          <t>P003</t>
        </is>
      </c>
      <c r="B33" s="15" t="inlineStr">
        <is>
          <t>Susan Park</t>
        </is>
      </c>
      <c r="C33" s="14" t="inlineStr">
        <is>
          <t>Allowance</t>
        </is>
      </c>
      <c r="D33" s="14" t="inlineStr">
        <is>
          <t>Jun</t>
        </is>
      </c>
      <c r="E33" s="14" t="n">
        <v>6</v>
      </c>
      <c r="F33" s="16" t="n">
        <v>1572.8</v>
      </c>
      <c r="G33" s="16" t="n">
        <v>1572.8</v>
      </c>
      <c r="H33" s="12">
        <f>G33-F33</f>
        <v/>
      </c>
      <c r="I33" s="13" t="inlineStr">
        <is>
          <t>Paid</t>
        </is>
      </c>
      <c r="J33" s="14" t="inlineStr">
        <is>
          <t>EMP05</t>
        </is>
      </c>
      <c r="K33" s="15" t="inlineStr"/>
    </row>
    <row r="34">
      <c r="A34" s="9" t="inlineStr">
        <is>
          <t>P003</t>
        </is>
      </c>
      <c r="B34" s="10" t="inlineStr">
        <is>
          <t>Susan Park</t>
        </is>
      </c>
      <c r="C34" s="9" t="inlineStr">
        <is>
          <t>Allowance</t>
        </is>
      </c>
      <c r="D34" s="9" t="inlineStr">
        <is>
          <t>Jul</t>
        </is>
      </c>
      <c r="E34" s="9" t="n">
        <v>7</v>
      </c>
      <c r="F34" s="11" t="n">
        <v>1572.8</v>
      </c>
      <c r="G34" s="11" t="n">
        <v>1572.8</v>
      </c>
      <c r="H34" s="12">
        <f>G34-F34</f>
        <v/>
      </c>
      <c r="I34" s="13" t="inlineStr">
        <is>
          <t>Paid</t>
        </is>
      </c>
      <c r="J34" s="9" t="inlineStr">
        <is>
          <t>EMP01</t>
        </is>
      </c>
      <c r="K34" s="10" t="inlineStr"/>
    </row>
    <row r="35">
      <c r="A35" s="14" t="inlineStr">
        <is>
          <t>P003</t>
        </is>
      </c>
      <c r="B35" s="15" t="inlineStr">
        <is>
          <t>Susan Park</t>
        </is>
      </c>
      <c r="C35" s="14" t="inlineStr">
        <is>
          <t>Allowance</t>
        </is>
      </c>
      <c r="D35" s="14" t="inlineStr">
        <is>
          <t>Aug</t>
        </is>
      </c>
      <c r="E35" s="14" t="n">
        <v>8</v>
      </c>
      <c r="F35" s="16" t="n">
        <v>1572.8</v>
      </c>
      <c r="G35" s="16" t="n">
        <v>1049.45</v>
      </c>
      <c r="H35" s="17">
        <f>G35-F35</f>
        <v/>
      </c>
      <c r="I35" s="18" t="inlineStr">
        <is>
          <t>Under Review</t>
        </is>
      </c>
      <c r="J35" s="14" t="inlineStr">
        <is>
          <t>EMP03</t>
        </is>
      </c>
      <c r="K35" s="15" t="inlineStr">
        <is>
          <t>Awaiting confirmation</t>
        </is>
      </c>
    </row>
    <row r="36">
      <c r="A36" s="9" t="inlineStr">
        <is>
          <t>P003</t>
        </is>
      </c>
      <c r="B36" s="10" t="inlineStr">
        <is>
          <t>Susan Park</t>
        </is>
      </c>
      <c r="C36" s="9" t="inlineStr">
        <is>
          <t>Allowance</t>
        </is>
      </c>
      <c r="D36" s="9" t="inlineStr">
        <is>
          <t>Sep</t>
        </is>
      </c>
      <c r="E36" s="9" t="n">
        <v>9</v>
      </c>
      <c r="F36" s="11" t="n">
        <v>1572.8</v>
      </c>
      <c r="G36" s="11" t="n">
        <v>1572.8</v>
      </c>
      <c r="H36" s="12">
        <f>G36-F36</f>
        <v/>
      </c>
      <c r="I36" s="13" t="inlineStr">
        <is>
          <t>Paid</t>
        </is>
      </c>
      <c r="J36" s="9" t="inlineStr">
        <is>
          <t>EMP04</t>
        </is>
      </c>
      <c r="K36" s="10" t="inlineStr"/>
    </row>
    <row r="37">
      <c r="A37" s="14" t="inlineStr">
        <is>
          <t>P003</t>
        </is>
      </c>
      <c r="B37" s="15" t="inlineStr">
        <is>
          <t>Susan Park</t>
        </is>
      </c>
      <c r="C37" s="14" t="inlineStr">
        <is>
          <t>Allowance</t>
        </is>
      </c>
      <c r="D37" s="14" t="inlineStr">
        <is>
          <t>Oct</t>
        </is>
      </c>
      <c r="E37" s="14" t="n">
        <v>10</v>
      </c>
      <c r="F37" s="16" t="n">
        <v>1572.8</v>
      </c>
      <c r="G37" s="16" t="n">
        <v>1572.8</v>
      </c>
      <c r="H37" s="12">
        <f>G37-F37</f>
        <v/>
      </c>
      <c r="I37" s="19" t="inlineStr">
        <is>
          <t>Late</t>
        </is>
      </c>
      <c r="J37" s="14" t="inlineStr">
        <is>
          <t>EMP01</t>
        </is>
      </c>
      <c r="K37" s="15" t="inlineStr"/>
    </row>
    <row r="38">
      <c r="A38" s="9" t="inlineStr">
        <is>
          <t>P003</t>
        </is>
      </c>
      <c r="B38" s="10" t="inlineStr">
        <is>
          <t>Susan Park</t>
        </is>
      </c>
      <c r="C38" s="9" t="inlineStr">
        <is>
          <t>Allowance</t>
        </is>
      </c>
      <c r="D38" s="9" t="inlineStr">
        <is>
          <t>Nov</t>
        </is>
      </c>
      <c r="E38" s="9" t="n">
        <v>11</v>
      </c>
      <c r="F38" s="11" t="n">
        <v>1572.8</v>
      </c>
      <c r="G38" s="11" t="n">
        <v>1572.8</v>
      </c>
      <c r="H38" s="12">
        <f>G38-F38</f>
        <v/>
      </c>
      <c r="I38" s="13" t="inlineStr">
        <is>
          <t>Paid</t>
        </is>
      </c>
      <c r="J38" s="9" t="inlineStr">
        <is>
          <t>EMP05</t>
        </is>
      </c>
      <c r="K38" s="10" t="inlineStr"/>
    </row>
    <row r="39">
      <c r="A39" s="14" t="inlineStr">
        <is>
          <t>P003</t>
        </is>
      </c>
      <c r="B39" s="15" t="inlineStr">
        <is>
          <t>Susan Park</t>
        </is>
      </c>
      <c r="C39" s="14" t="inlineStr">
        <is>
          <t>Allowance</t>
        </is>
      </c>
      <c r="D39" s="14" t="inlineStr">
        <is>
          <t>Dec</t>
        </is>
      </c>
      <c r="E39" s="14" t="n">
        <v>12</v>
      </c>
      <c r="F39" s="16" t="n">
        <v>1572.8</v>
      </c>
      <c r="G39" s="16" t="n">
        <v>2040.35</v>
      </c>
      <c r="H39" s="20">
        <f>G39-F39</f>
        <v/>
      </c>
      <c r="I39" s="21" t="inlineStr">
        <is>
          <t>Discrepancy</t>
        </is>
      </c>
      <c r="J39" s="14" t="inlineStr">
        <is>
          <t>EMP03</t>
        </is>
      </c>
      <c r="K39" s="15" t="inlineStr">
        <is>
          <t>Awaiting confirmation</t>
        </is>
      </c>
    </row>
    <row r="40">
      <c r="A40" s="9" t="inlineStr">
        <is>
          <t>P004</t>
        </is>
      </c>
      <c r="B40" s="10" t="inlineStr">
        <is>
          <t>David Kim</t>
        </is>
      </c>
      <c r="C40" s="9" t="inlineStr">
        <is>
          <t>Pension</t>
        </is>
      </c>
      <c r="D40" s="9" t="inlineStr">
        <is>
          <t>Jan</t>
        </is>
      </c>
      <c r="E40" s="9" t="n">
        <v>1</v>
      </c>
      <c r="F40" s="11" t="n">
        <v>2129.65</v>
      </c>
      <c r="G40" s="11" t="n">
        <v>2129.65</v>
      </c>
      <c r="H40" s="12">
        <f>G40-F40</f>
        <v/>
      </c>
      <c r="I40" s="13" t="inlineStr">
        <is>
          <t>Paid</t>
        </is>
      </c>
      <c r="J40" s="9" t="inlineStr">
        <is>
          <t>EMP05</t>
        </is>
      </c>
      <c r="K40" s="10" t="inlineStr"/>
    </row>
    <row r="41">
      <c r="A41" s="14" t="inlineStr">
        <is>
          <t>P004</t>
        </is>
      </c>
      <c r="B41" s="15" t="inlineStr">
        <is>
          <t>David Kim</t>
        </is>
      </c>
      <c r="C41" s="14" t="inlineStr">
        <is>
          <t>Pension</t>
        </is>
      </c>
      <c r="D41" s="14" t="inlineStr">
        <is>
          <t>Feb</t>
        </is>
      </c>
      <c r="E41" s="14" t="n">
        <v>2</v>
      </c>
      <c r="F41" s="16" t="n">
        <v>2129.65</v>
      </c>
      <c r="G41" s="16" t="n">
        <v>0</v>
      </c>
      <c r="H41" s="17">
        <f>G41-F41</f>
        <v/>
      </c>
      <c r="I41" s="21" t="inlineStr">
        <is>
          <t>Missed</t>
        </is>
      </c>
      <c r="J41" s="14" t="inlineStr">
        <is>
          <t>EMP05</t>
        </is>
      </c>
      <c r="K41" s="15" t="inlineStr"/>
    </row>
    <row r="42">
      <c r="A42" s="9" t="inlineStr">
        <is>
          <t>P004</t>
        </is>
      </c>
      <c r="B42" s="10" t="inlineStr">
        <is>
          <t>David Kim</t>
        </is>
      </c>
      <c r="C42" s="9" t="inlineStr">
        <is>
          <t>Pension</t>
        </is>
      </c>
      <c r="D42" s="9" t="inlineStr">
        <is>
          <t>Mar</t>
        </is>
      </c>
      <c r="E42" s="9" t="n">
        <v>3</v>
      </c>
      <c r="F42" s="11" t="n">
        <v>2129.65</v>
      </c>
      <c r="G42" s="11" t="n">
        <v>0</v>
      </c>
      <c r="H42" s="17">
        <f>G42-F42</f>
        <v/>
      </c>
      <c r="I42" s="21" t="inlineStr">
        <is>
          <t>Missed</t>
        </is>
      </c>
      <c r="J42" s="9" t="inlineStr">
        <is>
          <t>EMP01</t>
        </is>
      </c>
      <c r="K42" s="10" t="inlineStr"/>
    </row>
    <row r="43">
      <c r="A43" s="14" t="inlineStr">
        <is>
          <t>P004</t>
        </is>
      </c>
      <c r="B43" s="15" t="inlineStr">
        <is>
          <t>David Kim</t>
        </is>
      </c>
      <c r="C43" s="14" t="inlineStr">
        <is>
          <t>Pension</t>
        </is>
      </c>
      <c r="D43" s="14" t="inlineStr">
        <is>
          <t>Apr</t>
        </is>
      </c>
      <c r="E43" s="14" t="n">
        <v>4</v>
      </c>
      <c r="F43" s="16" t="n">
        <v>2129.65</v>
      </c>
      <c r="G43" s="16" t="n">
        <v>2129.65</v>
      </c>
      <c r="H43" s="12">
        <f>G43-F43</f>
        <v/>
      </c>
      <c r="I43" s="13" t="inlineStr">
        <is>
          <t>Paid</t>
        </is>
      </c>
      <c r="J43" s="14" t="inlineStr">
        <is>
          <t>EMP03</t>
        </is>
      </c>
      <c r="K43" s="15" t="inlineStr"/>
    </row>
    <row r="44">
      <c r="A44" s="9" t="inlineStr">
        <is>
          <t>P004</t>
        </is>
      </c>
      <c r="B44" s="10" t="inlineStr">
        <is>
          <t>David Kim</t>
        </is>
      </c>
      <c r="C44" s="9" t="inlineStr">
        <is>
          <t>Pension</t>
        </is>
      </c>
      <c r="D44" s="9" t="inlineStr">
        <is>
          <t>May</t>
        </is>
      </c>
      <c r="E44" s="9" t="n">
        <v>5</v>
      </c>
      <c r="F44" s="11" t="n">
        <v>2129.65</v>
      </c>
      <c r="G44" s="11" t="n">
        <v>0</v>
      </c>
      <c r="H44" s="17">
        <f>G44-F44</f>
        <v/>
      </c>
      <c r="I44" s="21" t="inlineStr">
        <is>
          <t>Missed</t>
        </is>
      </c>
      <c r="J44" s="9" t="inlineStr">
        <is>
          <t>EMP01</t>
        </is>
      </c>
      <c r="K44" s="10" t="inlineStr"/>
    </row>
    <row r="45">
      <c r="A45" s="14" t="inlineStr">
        <is>
          <t>P004</t>
        </is>
      </c>
      <c r="B45" s="15" t="inlineStr">
        <is>
          <t>David Kim</t>
        </is>
      </c>
      <c r="C45" s="14" t="inlineStr">
        <is>
          <t>Pension</t>
        </is>
      </c>
      <c r="D45" s="14" t="inlineStr">
        <is>
          <t>Jun</t>
        </is>
      </c>
      <c r="E45" s="14" t="n">
        <v>6</v>
      </c>
      <c r="F45" s="16" t="n">
        <v>2129.65</v>
      </c>
      <c r="G45" s="16" t="n">
        <v>2129.65</v>
      </c>
      <c r="H45" s="12">
        <f>G45-F45</f>
        <v/>
      </c>
      <c r="I45" s="13" t="inlineStr">
        <is>
          <t>Paid</t>
        </is>
      </c>
      <c r="J45" s="14" t="inlineStr">
        <is>
          <t>EMP03</t>
        </is>
      </c>
      <c r="K45" s="15" t="inlineStr"/>
    </row>
    <row r="46">
      <c r="A46" s="9" t="inlineStr">
        <is>
          <t>P004</t>
        </is>
      </c>
      <c r="B46" s="10" t="inlineStr">
        <is>
          <t>David Kim</t>
        </is>
      </c>
      <c r="C46" s="9" t="inlineStr">
        <is>
          <t>Pension</t>
        </is>
      </c>
      <c r="D46" s="9" t="inlineStr">
        <is>
          <t>Jul</t>
        </is>
      </c>
      <c r="E46" s="9" t="n">
        <v>7</v>
      </c>
      <c r="F46" s="11" t="n">
        <v>2129.65</v>
      </c>
      <c r="G46" s="11" t="n">
        <v>2871.35</v>
      </c>
      <c r="H46" s="20">
        <f>G46-F46</f>
        <v/>
      </c>
      <c r="I46" s="21" t="inlineStr">
        <is>
          <t>Discrepancy</t>
        </is>
      </c>
      <c r="J46" s="9" t="inlineStr">
        <is>
          <t>EMP04</t>
        </is>
      </c>
      <c r="K46" s="10" t="inlineStr">
        <is>
          <t>Awaiting confirmation</t>
        </is>
      </c>
    </row>
    <row r="47">
      <c r="A47" s="14" t="inlineStr">
        <is>
          <t>P004</t>
        </is>
      </c>
      <c r="B47" s="15" t="inlineStr">
        <is>
          <t>David Kim</t>
        </is>
      </c>
      <c r="C47" s="14" t="inlineStr">
        <is>
          <t>Pension</t>
        </is>
      </c>
      <c r="D47" s="14" t="inlineStr">
        <is>
          <t>Aug</t>
        </is>
      </c>
      <c r="E47" s="14" t="n">
        <v>8</v>
      </c>
      <c r="F47" s="16" t="n">
        <v>2129.65</v>
      </c>
      <c r="G47" s="16" t="n">
        <v>2129.65</v>
      </c>
      <c r="H47" s="12">
        <f>G47-F47</f>
        <v/>
      </c>
      <c r="I47" s="13" t="inlineStr">
        <is>
          <t>Paid</t>
        </is>
      </c>
      <c r="J47" s="14" t="inlineStr">
        <is>
          <t>EMP04</t>
        </is>
      </c>
      <c r="K47" s="15" t="inlineStr"/>
    </row>
    <row r="48">
      <c r="A48" s="9" t="inlineStr">
        <is>
          <t>P004</t>
        </is>
      </c>
      <c r="B48" s="10" t="inlineStr">
        <is>
          <t>David Kim</t>
        </is>
      </c>
      <c r="C48" s="9" t="inlineStr">
        <is>
          <t>Pension</t>
        </is>
      </c>
      <c r="D48" s="9" t="inlineStr">
        <is>
          <t>Sep</t>
        </is>
      </c>
      <c r="E48" s="9" t="n">
        <v>9</v>
      </c>
      <c r="F48" s="11" t="n">
        <v>2129.65</v>
      </c>
      <c r="G48" s="11" t="n">
        <v>2129.65</v>
      </c>
      <c r="H48" s="12">
        <f>G48-F48</f>
        <v/>
      </c>
      <c r="I48" s="13" t="inlineStr">
        <is>
          <t>Paid</t>
        </is>
      </c>
      <c r="J48" s="9" t="inlineStr">
        <is>
          <t>EMP01</t>
        </is>
      </c>
      <c r="K48" s="10" t="inlineStr"/>
    </row>
    <row r="49">
      <c r="A49" s="14" t="inlineStr">
        <is>
          <t>P004</t>
        </is>
      </c>
      <c r="B49" s="15" t="inlineStr">
        <is>
          <t>David Kim</t>
        </is>
      </c>
      <c r="C49" s="14" t="inlineStr">
        <is>
          <t>Pension</t>
        </is>
      </c>
      <c r="D49" s="14" t="inlineStr">
        <is>
          <t>Oct</t>
        </is>
      </c>
      <c r="E49" s="14" t="n">
        <v>10</v>
      </c>
      <c r="F49" s="16" t="n">
        <v>2129.65</v>
      </c>
      <c r="G49" s="16" t="n">
        <v>0</v>
      </c>
      <c r="H49" s="17">
        <f>G49-F49</f>
        <v/>
      </c>
      <c r="I49" s="21" t="inlineStr">
        <is>
          <t>Missed</t>
        </is>
      </c>
      <c r="J49" s="14" t="inlineStr">
        <is>
          <t>EMP03</t>
        </is>
      </c>
      <c r="K49" s="15" t="inlineStr"/>
    </row>
    <row r="50">
      <c r="A50" s="9" t="inlineStr">
        <is>
          <t>P004</t>
        </is>
      </c>
      <c r="B50" s="10" t="inlineStr">
        <is>
          <t>David Kim</t>
        </is>
      </c>
      <c r="C50" s="9" t="inlineStr">
        <is>
          <t>Pension</t>
        </is>
      </c>
      <c r="D50" s="9" t="inlineStr">
        <is>
          <t>Nov</t>
        </is>
      </c>
      <c r="E50" s="9" t="n">
        <v>11</v>
      </c>
      <c r="F50" s="11" t="n">
        <v>2129.65</v>
      </c>
      <c r="G50" s="11" t="n">
        <v>2129.65</v>
      </c>
      <c r="H50" s="12">
        <f>G50-F50</f>
        <v/>
      </c>
      <c r="I50" s="13" t="inlineStr">
        <is>
          <t>Paid</t>
        </is>
      </c>
      <c r="J50" s="9" t="inlineStr">
        <is>
          <t>EMP05</t>
        </is>
      </c>
      <c r="K50" s="10" t="inlineStr"/>
    </row>
    <row r="51">
      <c r="A51" s="14" t="inlineStr">
        <is>
          <t>P004</t>
        </is>
      </c>
      <c r="B51" s="15" t="inlineStr">
        <is>
          <t>David Kim</t>
        </is>
      </c>
      <c r="C51" s="14" t="inlineStr">
        <is>
          <t>Pension</t>
        </is>
      </c>
      <c r="D51" s="14" t="inlineStr">
        <is>
          <t>Dec</t>
        </is>
      </c>
      <c r="E51" s="14" t="n">
        <v>12</v>
      </c>
      <c r="F51" s="16" t="n">
        <v>2129.65</v>
      </c>
      <c r="G51" s="16" t="n">
        <v>2129.65</v>
      </c>
      <c r="H51" s="12">
        <f>G51-F51</f>
        <v/>
      </c>
      <c r="I51" s="13" t="inlineStr">
        <is>
          <t>Paid</t>
        </is>
      </c>
      <c r="J51" s="14" t="inlineStr">
        <is>
          <t>EMP04</t>
        </is>
      </c>
      <c r="K51" s="15" t="inlineStr"/>
    </row>
    <row r="52">
      <c r="A52" s="9" t="inlineStr">
        <is>
          <t>P005</t>
        </is>
      </c>
      <c r="B52" s="10" t="inlineStr">
        <is>
          <t>Linda Tremblay</t>
        </is>
      </c>
      <c r="C52" s="9" t="inlineStr">
        <is>
          <t>Allowance</t>
        </is>
      </c>
      <c r="D52" s="9" t="inlineStr">
        <is>
          <t>Jan</t>
        </is>
      </c>
      <c r="E52" s="9" t="n">
        <v>1</v>
      </c>
      <c r="F52" s="11" t="n">
        <v>1322.1</v>
      </c>
      <c r="G52" s="11" t="n">
        <v>1322.1</v>
      </c>
      <c r="H52" s="12">
        <f>G52-F52</f>
        <v/>
      </c>
      <c r="I52" s="13" t="inlineStr">
        <is>
          <t>Paid</t>
        </is>
      </c>
      <c r="J52" s="9" t="inlineStr">
        <is>
          <t>EMP02</t>
        </is>
      </c>
      <c r="K52" s="10" t="inlineStr"/>
    </row>
    <row r="53">
      <c r="A53" s="14" t="inlineStr">
        <is>
          <t>P005</t>
        </is>
      </c>
      <c r="B53" s="15" t="inlineStr">
        <is>
          <t>Linda Tremblay</t>
        </is>
      </c>
      <c r="C53" s="14" t="inlineStr">
        <is>
          <t>Allowance</t>
        </is>
      </c>
      <c r="D53" s="14" t="inlineStr">
        <is>
          <t>Feb</t>
        </is>
      </c>
      <c r="E53" s="14" t="n">
        <v>2</v>
      </c>
      <c r="F53" s="16" t="n">
        <v>1322.1</v>
      </c>
      <c r="G53" s="16" t="n">
        <v>1322.1</v>
      </c>
      <c r="H53" s="12">
        <f>G53-F53</f>
        <v/>
      </c>
      <c r="I53" s="13" t="inlineStr">
        <is>
          <t>Paid</t>
        </is>
      </c>
      <c r="J53" s="14" t="inlineStr">
        <is>
          <t>EMP04</t>
        </is>
      </c>
      <c r="K53" s="15" t="inlineStr"/>
    </row>
    <row r="54">
      <c r="A54" s="9" t="inlineStr">
        <is>
          <t>P005</t>
        </is>
      </c>
      <c r="B54" s="10" t="inlineStr">
        <is>
          <t>Linda Tremblay</t>
        </is>
      </c>
      <c r="C54" s="9" t="inlineStr">
        <is>
          <t>Allowance</t>
        </is>
      </c>
      <c r="D54" s="9" t="inlineStr">
        <is>
          <t>Mar</t>
        </is>
      </c>
      <c r="E54" s="9" t="n">
        <v>3</v>
      </c>
      <c r="F54" s="11" t="n">
        <v>1322.1</v>
      </c>
      <c r="G54" s="11" t="n">
        <v>1322.1</v>
      </c>
      <c r="H54" s="12">
        <f>G54-F54</f>
        <v/>
      </c>
      <c r="I54" s="19" t="inlineStr">
        <is>
          <t>Late</t>
        </is>
      </c>
      <c r="J54" s="9" t="inlineStr">
        <is>
          <t>EMP04</t>
        </is>
      </c>
      <c r="K54" s="10" t="inlineStr"/>
    </row>
    <row r="55">
      <c r="A55" s="14" t="inlineStr">
        <is>
          <t>P005</t>
        </is>
      </c>
      <c r="B55" s="15" t="inlineStr">
        <is>
          <t>Linda Tremblay</t>
        </is>
      </c>
      <c r="C55" s="14" t="inlineStr">
        <is>
          <t>Allowance</t>
        </is>
      </c>
      <c r="D55" s="14" t="inlineStr">
        <is>
          <t>Apr</t>
        </is>
      </c>
      <c r="E55" s="14" t="n">
        <v>4</v>
      </c>
      <c r="F55" s="16" t="n">
        <v>1322.1</v>
      </c>
      <c r="G55" s="16" t="n">
        <v>1322.1</v>
      </c>
      <c r="H55" s="12">
        <f>G55-F55</f>
        <v/>
      </c>
      <c r="I55" s="13" t="inlineStr">
        <is>
          <t>Paid</t>
        </is>
      </c>
      <c r="J55" s="14" t="inlineStr">
        <is>
          <t>EMP02</t>
        </is>
      </c>
      <c r="K55" s="15" t="inlineStr"/>
    </row>
    <row r="56">
      <c r="A56" s="9" t="inlineStr">
        <is>
          <t>P005</t>
        </is>
      </c>
      <c r="B56" s="10" t="inlineStr">
        <is>
          <t>Linda Tremblay</t>
        </is>
      </c>
      <c r="C56" s="9" t="inlineStr">
        <is>
          <t>Allowance</t>
        </is>
      </c>
      <c r="D56" s="9" t="inlineStr">
        <is>
          <t>May</t>
        </is>
      </c>
      <c r="E56" s="9" t="n">
        <v>5</v>
      </c>
      <c r="F56" s="11" t="n">
        <v>1322.1</v>
      </c>
      <c r="G56" s="11" t="n">
        <v>0</v>
      </c>
      <c r="H56" s="17">
        <f>G56-F56</f>
        <v/>
      </c>
      <c r="I56" s="21" t="inlineStr">
        <is>
          <t>Missed</t>
        </is>
      </c>
      <c r="J56" s="9" t="inlineStr">
        <is>
          <t>EMP04</t>
        </is>
      </c>
      <c r="K56" s="10" t="inlineStr"/>
    </row>
    <row r="57">
      <c r="A57" s="14" t="inlineStr">
        <is>
          <t>P005</t>
        </is>
      </c>
      <c r="B57" s="15" t="inlineStr">
        <is>
          <t>Linda Tremblay</t>
        </is>
      </c>
      <c r="C57" s="14" t="inlineStr">
        <is>
          <t>Allowance</t>
        </is>
      </c>
      <c r="D57" s="14" t="inlineStr">
        <is>
          <t>Jun</t>
        </is>
      </c>
      <c r="E57" s="14" t="n">
        <v>6</v>
      </c>
      <c r="F57" s="16" t="n">
        <v>1322.1</v>
      </c>
      <c r="G57" s="16" t="n">
        <v>807.98</v>
      </c>
      <c r="H57" s="17">
        <f>G57-F57</f>
        <v/>
      </c>
      <c r="I57" s="18" t="inlineStr">
        <is>
          <t>Under Review</t>
        </is>
      </c>
      <c r="J57" s="14" t="inlineStr">
        <is>
          <t>EMP02</t>
        </is>
      </c>
      <c r="K57" s="15" t="inlineStr">
        <is>
          <t>Awaiting confirmation</t>
        </is>
      </c>
    </row>
    <row r="58">
      <c r="A58" s="9" t="inlineStr">
        <is>
          <t>P005</t>
        </is>
      </c>
      <c r="B58" s="10" t="inlineStr">
        <is>
          <t>Linda Tremblay</t>
        </is>
      </c>
      <c r="C58" s="9" t="inlineStr">
        <is>
          <t>Allowance</t>
        </is>
      </c>
      <c r="D58" s="9" t="inlineStr">
        <is>
          <t>Jul</t>
        </is>
      </c>
      <c r="E58" s="9" t="n">
        <v>7</v>
      </c>
      <c r="F58" s="11" t="n">
        <v>1322.1</v>
      </c>
      <c r="G58" s="11" t="n">
        <v>1322.1</v>
      </c>
      <c r="H58" s="12">
        <f>G58-F58</f>
        <v/>
      </c>
      <c r="I58" s="19" t="inlineStr">
        <is>
          <t>Late</t>
        </is>
      </c>
      <c r="J58" s="9" t="inlineStr">
        <is>
          <t>EMP05</t>
        </is>
      </c>
      <c r="K58" s="10" t="inlineStr"/>
    </row>
    <row r="59">
      <c r="A59" s="14" t="inlineStr">
        <is>
          <t>P005</t>
        </is>
      </c>
      <c r="B59" s="15" t="inlineStr">
        <is>
          <t>Linda Tremblay</t>
        </is>
      </c>
      <c r="C59" s="14" t="inlineStr">
        <is>
          <t>Allowance</t>
        </is>
      </c>
      <c r="D59" s="14" t="inlineStr">
        <is>
          <t>Aug</t>
        </is>
      </c>
      <c r="E59" s="14" t="n">
        <v>8</v>
      </c>
      <c r="F59" s="16" t="n">
        <v>1322.1</v>
      </c>
      <c r="G59" s="16" t="n">
        <v>1322.1</v>
      </c>
      <c r="H59" s="12">
        <f>G59-F59</f>
        <v/>
      </c>
      <c r="I59" s="13" t="inlineStr">
        <is>
          <t>Paid</t>
        </is>
      </c>
      <c r="J59" s="14" t="inlineStr">
        <is>
          <t>EMP04</t>
        </is>
      </c>
      <c r="K59" s="15" t="inlineStr"/>
    </row>
    <row r="60">
      <c r="A60" s="9" t="inlineStr">
        <is>
          <t>P005</t>
        </is>
      </c>
      <c r="B60" s="10" t="inlineStr">
        <is>
          <t>Linda Tremblay</t>
        </is>
      </c>
      <c r="C60" s="9" t="inlineStr">
        <is>
          <t>Allowance</t>
        </is>
      </c>
      <c r="D60" s="9" t="inlineStr">
        <is>
          <t>Sep</t>
        </is>
      </c>
      <c r="E60" s="9" t="n">
        <v>9</v>
      </c>
      <c r="F60" s="11" t="n">
        <v>1322.1</v>
      </c>
      <c r="G60" s="11" t="n">
        <v>1322.1</v>
      </c>
      <c r="H60" s="12">
        <f>G60-F60</f>
        <v/>
      </c>
      <c r="I60" s="13" t="inlineStr">
        <is>
          <t>Paid</t>
        </is>
      </c>
      <c r="J60" s="9" t="inlineStr">
        <is>
          <t>EMP04</t>
        </is>
      </c>
      <c r="K60" s="10" t="inlineStr"/>
    </row>
    <row r="61">
      <c r="A61" s="14" t="inlineStr">
        <is>
          <t>P005</t>
        </is>
      </c>
      <c r="B61" s="15" t="inlineStr">
        <is>
          <t>Linda Tremblay</t>
        </is>
      </c>
      <c r="C61" s="14" t="inlineStr">
        <is>
          <t>Allowance</t>
        </is>
      </c>
      <c r="D61" s="14" t="inlineStr">
        <is>
          <t>Oct</t>
        </is>
      </c>
      <c r="E61" s="14" t="n">
        <v>10</v>
      </c>
      <c r="F61" s="16" t="n">
        <v>1322.1</v>
      </c>
      <c r="G61" s="16" t="n">
        <v>1322.1</v>
      </c>
      <c r="H61" s="12">
        <f>G61-F61</f>
        <v/>
      </c>
      <c r="I61" s="13" t="inlineStr">
        <is>
          <t>Paid</t>
        </is>
      </c>
      <c r="J61" s="14" t="inlineStr">
        <is>
          <t>EMP02</t>
        </is>
      </c>
      <c r="K61" s="15" t="inlineStr"/>
    </row>
    <row r="62">
      <c r="A62" s="9" t="inlineStr">
        <is>
          <t>P005</t>
        </is>
      </c>
      <c r="B62" s="10" t="inlineStr">
        <is>
          <t>Linda Tremblay</t>
        </is>
      </c>
      <c r="C62" s="9" t="inlineStr">
        <is>
          <t>Allowance</t>
        </is>
      </c>
      <c r="D62" s="9" t="inlineStr">
        <is>
          <t>Nov</t>
        </is>
      </c>
      <c r="E62" s="9" t="n">
        <v>11</v>
      </c>
      <c r="F62" s="11" t="n">
        <v>1322.1</v>
      </c>
      <c r="G62" s="11" t="n">
        <v>1322.1</v>
      </c>
      <c r="H62" s="12">
        <f>G62-F62</f>
        <v/>
      </c>
      <c r="I62" s="13" t="inlineStr">
        <is>
          <t>Paid</t>
        </is>
      </c>
      <c r="J62" s="9" t="inlineStr">
        <is>
          <t>EMP02</t>
        </is>
      </c>
      <c r="K62" s="10" t="inlineStr"/>
    </row>
    <row r="63">
      <c r="A63" s="14" t="inlineStr">
        <is>
          <t>P005</t>
        </is>
      </c>
      <c r="B63" s="15" t="inlineStr">
        <is>
          <t>Linda Tremblay</t>
        </is>
      </c>
      <c r="C63" s="14" t="inlineStr">
        <is>
          <t>Allowance</t>
        </is>
      </c>
      <c r="D63" s="14" t="inlineStr">
        <is>
          <t>Dec</t>
        </is>
      </c>
      <c r="E63" s="14" t="n">
        <v>12</v>
      </c>
      <c r="F63" s="16" t="n">
        <v>1322.1</v>
      </c>
      <c r="G63" s="16" t="n">
        <v>1322.1</v>
      </c>
      <c r="H63" s="12">
        <f>G63-F63</f>
        <v/>
      </c>
      <c r="I63" s="13" t="inlineStr">
        <is>
          <t>Paid</t>
        </is>
      </c>
      <c r="J63" s="14" t="inlineStr">
        <is>
          <t>EMP02</t>
        </is>
      </c>
      <c r="K63" s="15" t="inlineStr"/>
    </row>
    <row r="64">
      <c r="A64" s="9" t="inlineStr">
        <is>
          <t>P006</t>
        </is>
      </c>
      <c r="B64" s="10" t="inlineStr">
        <is>
          <t>James Wilson</t>
        </is>
      </c>
      <c r="C64" s="9" t="inlineStr">
        <is>
          <t>Pension</t>
        </is>
      </c>
      <c r="D64" s="9" t="inlineStr">
        <is>
          <t>Jan</t>
        </is>
      </c>
      <c r="E64" s="9" t="n">
        <v>1</v>
      </c>
      <c r="F64" s="11" t="n">
        <v>2269.75</v>
      </c>
      <c r="G64" s="11" t="n">
        <v>2269.75</v>
      </c>
      <c r="H64" s="12">
        <f>G64-F64</f>
        <v/>
      </c>
      <c r="I64" s="13" t="inlineStr">
        <is>
          <t>Paid</t>
        </is>
      </c>
      <c r="J64" s="9" t="inlineStr">
        <is>
          <t>EMP04</t>
        </is>
      </c>
      <c r="K64" s="10" t="inlineStr"/>
    </row>
    <row r="65">
      <c r="A65" s="14" t="inlineStr">
        <is>
          <t>P006</t>
        </is>
      </c>
      <c r="B65" s="15" t="inlineStr">
        <is>
          <t>James Wilson</t>
        </is>
      </c>
      <c r="C65" s="14" t="inlineStr">
        <is>
          <t>Pension</t>
        </is>
      </c>
      <c r="D65" s="14" t="inlineStr">
        <is>
          <t>Feb</t>
        </is>
      </c>
      <c r="E65" s="14" t="n">
        <v>2</v>
      </c>
      <c r="F65" s="16" t="n">
        <v>2269.75</v>
      </c>
      <c r="G65" s="16" t="n">
        <v>2600.19</v>
      </c>
      <c r="H65" s="20">
        <f>G65-F65</f>
        <v/>
      </c>
      <c r="I65" s="21" t="inlineStr">
        <is>
          <t>Discrepancy</t>
        </is>
      </c>
      <c r="J65" s="14" t="inlineStr">
        <is>
          <t>EMP03</t>
        </is>
      </c>
      <c r="K65" s="15" t="inlineStr">
        <is>
          <t>Awaiting confirmation</t>
        </is>
      </c>
    </row>
    <row r="66">
      <c r="A66" s="9" t="inlineStr">
        <is>
          <t>P006</t>
        </is>
      </c>
      <c r="B66" s="10" t="inlineStr">
        <is>
          <t>James Wilson</t>
        </is>
      </c>
      <c r="C66" s="9" t="inlineStr">
        <is>
          <t>Pension</t>
        </is>
      </c>
      <c r="D66" s="9" t="inlineStr">
        <is>
          <t>Mar</t>
        </is>
      </c>
      <c r="E66" s="9" t="n">
        <v>3</v>
      </c>
      <c r="F66" s="11" t="n">
        <v>2269.75</v>
      </c>
      <c r="G66" s="11" t="n">
        <v>2269.75</v>
      </c>
      <c r="H66" s="12">
        <f>G66-F66</f>
        <v/>
      </c>
      <c r="I66" s="13" t="inlineStr">
        <is>
          <t>Paid</t>
        </is>
      </c>
      <c r="J66" s="9" t="inlineStr">
        <is>
          <t>EMP02</t>
        </is>
      </c>
      <c r="K66" s="10" t="inlineStr"/>
    </row>
    <row r="67">
      <c r="A67" s="14" t="inlineStr">
        <is>
          <t>P006</t>
        </is>
      </c>
      <c r="B67" s="15" t="inlineStr">
        <is>
          <t>James Wilson</t>
        </is>
      </c>
      <c r="C67" s="14" t="inlineStr">
        <is>
          <t>Pension</t>
        </is>
      </c>
      <c r="D67" s="14" t="inlineStr">
        <is>
          <t>Apr</t>
        </is>
      </c>
      <c r="E67" s="14" t="n">
        <v>4</v>
      </c>
      <c r="F67" s="16" t="n">
        <v>2269.75</v>
      </c>
      <c r="G67" s="16" t="n">
        <v>2269.75</v>
      </c>
      <c r="H67" s="12">
        <f>G67-F67</f>
        <v/>
      </c>
      <c r="I67" s="19" t="inlineStr">
        <is>
          <t>Late</t>
        </is>
      </c>
      <c r="J67" s="14" t="inlineStr">
        <is>
          <t>EMP05</t>
        </is>
      </c>
      <c r="K67" s="15" t="inlineStr"/>
    </row>
    <row r="68">
      <c r="A68" s="9" t="inlineStr">
        <is>
          <t>P006</t>
        </is>
      </c>
      <c r="B68" s="10" t="inlineStr">
        <is>
          <t>James Wilson</t>
        </is>
      </c>
      <c r="C68" s="9" t="inlineStr">
        <is>
          <t>Pension</t>
        </is>
      </c>
      <c r="D68" s="9" t="inlineStr">
        <is>
          <t>May</t>
        </is>
      </c>
      <c r="E68" s="9" t="n">
        <v>5</v>
      </c>
      <c r="F68" s="11" t="n">
        <v>2269.75</v>
      </c>
      <c r="G68" s="11" t="n">
        <v>2269.75</v>
      </c>
      <c r="H68" s="12">
        <f>G68-F68</f>
        <v/>
      </c>
      <c r="I68" s="13" t="inlineStr">
        <is>
          <t>Paid</t>
        </is>
      </c>
      <c r="J68" s="9" t="inlineStr">
        <is>
          <t>EMP05</t>
        </is>
      </c>
      <c r="K68" s="10" t="inlineStr"/>
    </row>
    <row r="69">
      <c r="A69" s="14" t="inlineStr">
        <is>
          <t>P006</t>
        </is>
      </c>
      <c r="B69" s="15" t="inlineStr">
        <is>
          <t>James Wilson</t>
        </is>
      </c>
      <c r="C69" s="14" t="inlineStr">
        <is>
          <t>Pension</t>
        </is>
      </c>
      <c r="D69" s="14" t="inlineStr">
        <is>
          <t>Jun</t>
        </is>
      </c>
      <c r="E69" s="14" t="n">
        <v>6</v>
      </c>
      <c r="F69" s="16" t="n">
        <v>2269.75</v>
      </c>
      <c r="G69" s="16" t="n">
        <v>2677.52</v>
      </c>
      <c r="H69" s="20">
        <f>G69-F69</f>
        <v/>
      </c>
      <c r="I69" s="21" t="inlineStr">
        <is>
          <t>Discrepancy</t>
        </is>
      </c>
      <c r="J69" s="14" t="inlineStr">
        <is>
          <t>EMP02</t>
        </is>
      </c>
      <c r="K69" s="15" t="inlineStr">
        <is>
          <t>Awaiting confirmation</t>
        </is>
      </c>
    </row>
    <row r="70">
      <c r="A70" s="9" t="inlineStr">
        <is>
          <t>P006</t>
        </is>
      </c>
      <c r="B70" s="10" t="inlineStr">
        <is>
          <t>James Wilson</t>
        </is>
      </c>
      <c r="C70" s="9" t="inlineStr">
        <is>
          <t>Pension</t>
        </is>
      </c>
      <c r="D70" s="9" t="inlineStr">
        <is>
          <t>Jul</t>
        </is>
      </c>
      <c r="E70" s="9" t="n">
        <v>7</v>
      </c>
      <c r="F70" s="11" t="n">
        <v>2269.75</v>
      </c>
      <c r="G70" s="11" t="n">
        <v>1997.58</v>
      </c>
      <c r="H70" s="17">
        <f>G70-F70</f>
        <v/>
      </c>
      <c r="I70" s="18" t="inlineStr">
        <is>
          <t>Under Review</t>
        </is>
      </c>
      <c r="J70" s="9" t="inlineStr">
        <is>
          <t>EMP01</t>
        </is>
      </c>
      <c r="K70" s="10" t="inlineStr">
        <is>
          <t>Awaiting confirmation</t>
        </is>
      </c>
    </row>
    <row r="71">
      <c r="A71" s="14" t="inlineStr">
        <is>
          <t>P006</t>
        </is>
      </c>
      <c r="B71" s="15" t="inlineStr">
        <is>
          <t>James Wilson</t>
        </is>
      </c>
      <c r="C71" s="14" t="inlineStr">
        <is>
          <t>Pension</t>
        </is>
      </c>
      <c r="D71" s="14" t="inlineStr">
        <is>
          <t>Aug</t>
        </is>
      </c>
      <c r="E71" s="14" t="n">
        <v>8</v>
      </c>
      <c r="F71" s="16" t="n">
        <v>2269.75</v>
      </c>
      <c r="G71" s="16" t="n">
        <v>0</v>
      </c>
      <c r="H71" s="17">
        <f>G71-F71</f>
        <v/>
      </c>
      <c r="I71" s="21" t="inlineStr">
        <is>
          <t>Missed</t>
        </is>
      </c>
      <c r="J71" s="14" t="inlineStr">
        <is>
          <t>EMP05</t>
        </is>
      </c>
      <c r="K71" s="15" t="inlineStr"/>
    </row>
    <row r="72">
      <c r="A72" s="9" t="inlineStr">
        <is>
          <t>P006</t>
        </is>
      </c>
      <c r="B72" s="10" t="inlineStr">
        <is>
          <t>James Wilson</t>
        </is>
      </c>
      <c r="C72" s="9" t="inlineStr">
        <is>
          <t>Pension</t>
        </is>
      </c>
      <c r="D72" s="9" t="inlineStr">
        <is>
          <t>Sep</t>
        </is>
      </c>
      <c r="E72" s="9" t="n">
        <v>9</v>
      </c>
      <c r="F72" s="11" t="n">
        <v>2269.75</v>
      </c>
      <c r="G72" s="11" t="n">
        <v>2269.75</v>
      </c>
      <c r="H72" s="12">
        <f>G72-F72</f>
        <v/>
      </c>
      <c r="I72" s="19" t="inlineStr">
        <is>
          <t>Late</t>
        </is>
      </c>
      <c r="J72" s="9" t="inlineStr">
        <is>
          <t>EMP04</t>
        </is>
      </c>
      <c r="K72" s="10" t="inlineStr"/>
    </row>
    <row r="73">
      <c r="A73" s="14" t="inlineStr">
        <is>
          <t>P006</t>
        </is>
      </c>
      <c r="B73" s="15" t="inlineStr">
        <is>
          <t>James Wilson</t>
        </is>
      </c>
      <c r="C73" s="14" t="inlineStr">
        <is>
          <t>Pension</t>
        </is>
      </c>
      <c r="D73" s="14" t="inlineStr">
        <is>
          <t>Oct</t>
        </is>
      </c>
      <c r="E73" s="14" t="n">
        <v>10</v>
      </c>
      <c r="F73" s="16" t="n">
        <v>2269.75</v>
      </c>
      <c r="G73" s="16" t="n">
        <v>2269.75</v>
      </c>
      <c r="H73" s="12">
        <f>G73-F73</f>
        <v/>
      </c>
      <c r="I73" s="19" t="inlineStr">
        <is>
          <t>Late</t>
        </is>
      </c>
      <c r="J73" s="14" t="inlineStr">
        <is>
          <t>EMP04</t>
        </is>
      </c>
      <c r="K73" s="15" t="inlineStr"/>
    </row>
    <row r="74">
      <c r="A74" s="9" t="inlineStr">
        <is>
          <t>P006</t>
        </is>
      </c>
      <c r="B74" s="10" t="inlineStr">
        <is>
          <t>James Wilson</t>
        </is>
      </c>
      <c r="C74" s="9" t="inlineStr">
        <is>
          <t>Pension</t>
        </is>
      </c>
      <c r="D74" s="9" t="inlineStr">
        <is>
          <t>Nov</t>
        </is>
      </c>
      <c r="E74" s="9" t="n">
        <v>11</v>
      </c>
      <c r="F74" s="11" t="n">
        <v>2269.75</v>
      </c>
      <c r="G74" s="11" t="n">
        <v>2269.75</v>
      </c>
      <c r="H74" s="12">
        <f>G74-F74</f>
        <v/>
      </c>
      <c r="I74" s="13" t="inlineStr">
        <is>
          <t>Paid</t>
        </is>
      </c>
      <c r="J74" s="9" t="inlineStr">
        <is>
          <t>EMP04</t>
        </is>
      </c>
      <c r="K74" s="10" t="inlineStr"/>
    </row>
    <row r="75">
      <c r="A75" s="14" t="inlineStr">
        <is>
          <t>P006</t>
        </is>
      </c>
      <c r="B75" s="15" t="inlineStr">
        <is>
          <t>James Wilson</t>
        </is>
      </c>
      <c r="C75" s="14" t="inlineStr">
        <is>
          <t>Pension</t>
        </is>
      </c>
      <c r="D75" s="14" t="inlineStr">
        <is>
          <t>Dec</t>
        </is>
      </c>
      <c r="E75" s="14" t="n">
        <v>12</v>
      </c>
      <c r="F75" s="16" t="n">
        <v>2269.75</v>
      </c>
      <c r="G75" s="16" t="n">
        <v>2269.75</v>
      </c>
      <c r="H75" s="12">
        <f>G75-F75</f>
        <v/>
      </c>
      <c r="I75" s="19" t="inlineStr">
        <is>
          <t>Late</t>
        </is>
      </c>
      <c r="J75" s="14" t="inlineStr">
        <is>
          <t>EMP01</t>
        </is>
      </c>
      <c r="K75" s="15" t="inlineStr"/>
    </row>
    <row r="76">
      <c r="A76" s="9" t="inlineStr">
        <is>
          <t>P007</t>
        </is>
      </c>
      <c r="B76" s="10" t="inlineStr">
        <is>
          <t>Patricia Moore</t>
        </is>
      </c>
      <c r="C76" s="9" t="inlineStr">
        <is>
          <t>Allowance</t>
        </is>
      </c>
      <c r="D76" s="9" t="inlineStr">
        <is>
          <t>Jan</t>
        </is>
      </c>
      <c r="E76" s="9" t="n">
        <v>1</v>
      </c>
      <c r="F76" s="11" t="n">
        <v>1360.28</v>
      </c>
      <c r="G76" s="11" t="n">
        <v>1360.28</v>
      </c>
      <c r="H76" s="12">
        <f>G76-F76</f>
        <v/>
      </c>
      <c r="I76" s="13" t="inlineStr">
        <is>
          <t>Paid</t>
        </is>
      </c>
      <c r="J76" s="9" t="inlineStr">
        <is>
          <t>EMP04</t>
        </is>
      </c>
      <c r="K76" s="10" t="inlineStr"/>
    </row>
    <row r="77">
      <c r="A77" s="14" t="inlineStr">
        <is>
          <t>P007</t>
        </is>
      </c>
      <c r="B77" s="15" t="inlineStr">
        <is>
          <t>Patricia Moore</t>
        </is>
      </c>
      <c r="C77" s="14" t="inlineStr">
        <is>
          <t>Allowance</t>
        </is>
      </c>
      <c r="D77" s="14" t="inlineStr">
        <is>
          <t>Feb</t>
        </is>
      </c>
      <c r="E77" s="14" t="n">
        <v>2</v>
      </c>
      <c r="F77" s="16" t="n">
        <v>1360.28</v>
      </c>
      <c r="G77" s="16" t="n">
        <v>1360.28</v>
      </c>
      <c r="H77" s="12">
        <f>G77-F77</f>
        <v/>
      </c>
      <c r="I77" s="13" t="inlineStr">
        <is>
          <t>Paid</t>
        </is>
      </c>
      <c r="J77" s="14" t="inlineStr">
        <is>
          <t>EMP01</t>
        </is>
      </c>
      <c r="K77" s="15" t="inlineStr"/>
    </row>
    <row r="78">
      <c r="A78" s="9" t="inlineStr">
        <is>
          <t>P007</t>
        </is>
      </c>
      <c r="B78" s="10" t="inlineStr">
        <is>
          <t>Patricia Moore</t>
        </is>
      </c>
      <c r="C78" s="9" t="inlineStr">
        <is>
          <t>Allowance</t>
        </is>
      </c>
      <c r="D78" s="9" t="inlineStr">
        <is>
          <t>Mar</t>
        </is>
      </c>
      <c r="E78" s="9" t="n">
        <v>3</v>
      </c>
      <c r="F78" s="11" t="n">
        <v>1360.28</v>
      </c>
      <c r="G78" s="11" t="n">
        <v>1360.28</v>
      </c>
      <c r="H78" s="12">
        <f>G78-F78</f>
        <v/>
      </c>
      <c r="I78" s="13" t="inlineStr">
        <is>
          <t>Paid</t>
        </is>
      </c>
      <c r="J78" s="9" t="inlineStr">
        <is>
          <t>EMP05</t>
        </is>
      </c>
      <c r="K78" s="10" t="inlineStr"/>
    </row>
    <row r="79">
      <c r="A79" s="14" t="inlineStr">
        <is>
          <t>P007</t>
        </is>
      </c>
      <c r="B79" s="15" t="inlineStr">
        <is>
          <t>Patricia Moore</t>
        </is>
      </c>
      <c r="C79" s="14" t="inlineStr">
        <is>
          <t>Allowance</t>
        </is>
      </c>
      <c r="D79" s="14" t="inlineStr">
        <is>
          <t>Apr</t>
        </is>
      </c>
      <c r="E79" s="14" t="n">
        <v>4</v>
      </c>
      <c r="F79" s="16" t="n">
        <v>1360.28</v>
      </c>
      <c r="G79" s="16" t="n">
        <v>1360.28</v>
      </c>
      <c r="H79" s="12">
        <f>G79-F79</f>
        <v/>
      </c>
      <c r="I79" s="13" t="inlineStr">
        <is>
          <t>Paid</t>
        </is>
      </c>
      <c r="J79" s="14" t="inlineStr">
        <is>
          <t>EMP01</t>
        </is>
      </c>
      <c r="K79" s="15" t="inlineStr"/>
    </row>
    <row r="80">
      <c r="A80" s="9" t="inlineStr">
        <is>
          <t>P007</t>
        </is>
      </c>
      <c r="B80" s="10" t="inlineStr">
        <is>
          <t>Patricia Moore</t>
        </is>
      </c>
      <c r="C80" s="9" t="inlineStr">
        <is>
          <t>Allowance</t>
        </is>
      </c>
      <c r="D80" s="9" t="inlineStr">
        <is>
          <t>May</t>
        </is>
      </c>
      <c r="E80" s="9" t="n">
        <v>5</v>
      </c>
      <c r="F80" s="11" t="n">
        <v>1360.28</v>
      </c>
      <c r="G80" s="11" t="n">
        <v>1360.28</v>
      </c>
      <c r="H80" s="12">
        <f>G80-F80</f>
        <v/>
      </c>
      <c r="I80" s="13" t="inlineStr">
        <is>
          <t>Paid</t>
        </is>
      </c>
      <c r="J80" s="9" t="inlineStr">
        <is>
          <t>EMP05</t>
        </is>
      </c>
      <c r="K80" s="10" t="inlineStr"/>
    </row>
    <row r="81">
      <c r="A81" s="14" t="inlineStr">
        <is>
          <t>P007</t>
        </is>
      </c>
      <c r="B81" s="15" t="inlineStr">
        <is>
          <t>Patricia Moore</t>
        </is>
      </c>
      <c r="C81" s="14" t="inlineStr">
        <is>
          <t>Allowance</t>
        </is>
      </c>
      <c r="D81" s="14" t="inlineStr">
        <is>
          <t>Jun</t>
        </is>
      </c>
      <c r="E81" s="14" t="n">
        <v>6</v>
      </c>
      <c r="F81" s="16" t="n">
        <v>1360.28</v>
      </c>
      <c r="G81" s="16" t="n">
        <v>1360.28</v>
      </c>
      <c r="H81" s="12">
        <f>G81-F81</f>
        <v/>
      </c>
      <c r="I81" s="13" t="inlineStr">
        <is>
          <t>Paid</t>
        </is>
      </c>
      <c r="J81" s="14" t="inlineStr">
        <is>
          <t>EMP05</t>
        </is>
      </c>
      <c r="K81" s="15" t="inlineStr"/>
    </row>
    <row r="82">
      <c r="A82" s="9" t="inlineStr">
        <is>
          <t>P007</t>
        </is>
      </c>
      <c r="B82" s="10" t="inlineStr">
        <is>
          <t>Patricia Moore</t>
        </is>
      </c>
      <c r="C82" s="9" t="inlineStr">
        <is>
          <t>Allowance</t>
        </is>
      </c>
      <c r="D82" s="9" t="inlineStr">
        <is>
          <t>Jul</t>
        </is>
      </c>
      <c r="E82" s="9" t="n">
        <v>7</v>
      </c>
      <c r="F82" s="11" t="n">
        <v>1360.28</v>
      </c>
      <c r="G82" s="11" t="n">
        <v>1360.28</v>
      </c>
      <c r="H82" s="12">
        <f>G82-F82</f>
        <v/>
      </c>
      <c r="I82" s="13" t="inlineStr">
        <is>
          <t>Paid</t>
        </is>
      </c>
      <c r="J82" s="9" t="inlineStr">
        <is>
          <t>EMP03</t>
        </is>
      </c>
      <c r="K82" s="10" t="inlineStr"/>
    </row>
    <row r="83">
      <c r="A83" s="14" t="inlineStr">
        <is>
          <t>P007</t>
        </is>
      </c>
      <c r="B83" s="15" t="inlineStr">
        <is>
          <t>Patricia Moore</t>
        </is>
      </c>
      <c r="C83" s="14" t="inlineStr">
        <is>
          <t>Allowance</t>
        </is>
      </c>
      <c r="D83" s="14" t="inlineStr">
        <is>
          <t>Aug</t>
        </is>
      </c>
      <c r="E83" s="14" t="n">
        <v>8</v>
      </c>
      <c r="F83" s="16" t="n">
        <v>1360.28</v>
      </c>
      <c r="G83" s="16" t="n">
        <v>1504.98</v>
      </c>
      <c r="H83" s="20">
        <f>G83-F83</f>
        <v/>
      </c>
      <c r="I83" s="21" t="inlineStr">
        <is>
          <t>Discrepancy</t>
        </is>
      </c>
      <c r="J83" s="14" t="inlineStr">
        <is>
          <t>EMP02</t>
        </is>
      </c>
      <c r="K83" s="15" t="inlineStr">
        <is>
          <t>Awaiting confirmation</t>
        </is>
      </c>
    </row>
    <row r="84">
      <c r="A84" s="9" t="inlineStr">
        <is>
          <t>P007</t>
        </is>
      </c>
      <c r="B84" s="10" t="inlineStr">
        <is>
          <t>Patricia Moore</t>
        </is>
      </c>
      <c r="C84" s="9" t="inlineStr">
        <is>
          <t>Allowance</t>
        </is>
      </c>
      <c r="D84" s="9" t="inlineStr">
        <is>
          <t>Sep</t>
        </is>
      </c>
      <c r="E84" s="9" t="n">
        <v>9</v>
      </c>
      <c r="F84" s="11" t="n">
        <v>1360.28</v>
      </c>
      <c r="G84" s="11" t="n">
        <v>1624.25</v>
      </c>
      <c r="H84" s="20">
        <f>G84-F84</f>
        <v/>
      </c>
      <c r="I84" s="21" t="inlineStr">
        <is>
          <t>Discrepancy</t>
        </is>
      </c>
      <c r="J84" s="9" t="inlineStr">
        <is>
          <t>EMP03</t>
        </is>
      </c>
      <c r="K84" s="10" t="inlineStr">
        <is>
          <t>Awaiting confirmation</t>
        </is>
      </c>
    </row>
    <row r="85">
      <c r="A85" s="14" t="inlineStr">
        <is>
          <t>P007</t>
        </is>
      </c>
      <c r="B85" s="15" t="inlineStr">
        <is>
          <t>Patricia Moore</t>
        </is>
      </c>
      <c r="C85" s="14" t="inlineStr">
        <is>
          <t>Allowance</t>
        </is>
      </c>
      <c r="D85" s="14" t="inlineStr">
        <is>
          <t>Oct</t>
        </is>
      </c>
      <c r="E85" s="14" t="n">
        <v>10</v>
      </c>
      <c r="F85" s="16" t="n">
        <v>1360.28</v>
      </c>
      <c r="G85" s="16" t="n">
        <v>1360.28</v>
      </c>
      <c r="H85" s="12">
        <f>G85-F85</f>
        <v/>
      </c>
      <c r="I85" s="13" t="inlineStr">
        <is>
          <t>Paid</t>
        </is>
      </c>
      <c r="J85" s="14" t="inlineStr">
        <is>
          <t>EMP05</t>
        </is>
      </c>
      <c r="K85" s="15" t="inlineStr"/>
    </row>
    <row r="86">
      <c r="A86" s="9" t="inlineStr">
        <is>
          <t>P007</t>
        </is>
      </c>
      <c r="B86" s="10" t="inlineStr">
        <is>
          <t>Patricia Moore</t>
        </is>
      </c>
      <c r="C86" s="9" t="inlineStr">
        <is>
          <t>Allowance</t>
        </is>
      </c>
      <c r="D86" s="9" t="inlineStr">
        <is>
          <t>Nov</t>
        </is>
      </c>
      <c r="E86" s="9" t="n">
        <v>11</v>
      </c>
      <c r="F86" s="11" t="n">
        <v>1360.28</v>
      </c>
      <c r="G86" s="11" t="n">
        <v>1360.28</v>
      </c>
      <c r="H86" s="12">
        <f>G86-F86</f>
        <v/>
      </c>
      <c r="I86" s="13" t="inlineStr">
        <is>
          <t>Paid</t>
        </is>
      </c>
      <c r="J86" s="9" t="inlineStr">
        <is>
          <t>EMP04</t>
        </is>
      </c>
      <c r="K86" s="10" t="inlineStr"/>
    </row>
    <row r="87">
      <c r="A87" s="14" t="inlineStr">
        <is>
          <t>P007</t>
        </is>
      </c>
      <c r="B87" s="15" t="inlineStr">
        <is>
          <t>Patricia Moore</t>
        </is>
      </c>
      <c r="C87" s="14" t="inlineStr">
        <is>
          <t>Allowance</t>
        </is>
      </c>
      <c r="D87" s="14" t="inlineStr">
        <is>
          <t>Dec</t>
        </is>
      </c>
      <c r="E87" s="14" t="n">
        <v>12</v>
      </c>
      <c r="F87" s="16" t="n">
        <v>1360.28</v>
      </c>
      <c r="G87" s="16" t="n">
        <v>1360.28</v>
      </c>
      <c r="H87" s="12">
        <f>G87-F87</f>
        <v/>
      </c>
      <c r="I87" s="13" t="inlineStr">
        <is>
          <t>Paid</t>
        </is>
      </c>
      <c r="J87" s="14" t="inlineStr">
        <is>
          <t>EMP01</t>
        </is>
      </c>
      <c r="K87" s="15" t="inlineStr"/>
    </row>
    <row r="88">
      <c r="A88" s="9" t="inlineStr">
        <is>
          <t>P008</t>
        </is>
      </c>
      <c r="B88" s="10" t="inlineStr">
        <is>
          <t>Michael Scott</t>
        </is>
      </c>
      <c r="C88" s="9" t="inlineStr">
        <is>
          <t>Pension</t>
        </is>
      </c>
      <c r="D88" s="9" t="inlineStr">
        <is>
          <t>Jan</t>
        </is>
      </c>
      <c r="E88" s="9" t="n">
        <v>1</v>
      </c>
      <c r="F88" s="11" t="n">
        <v>2353.53</v>
      </c>
      <c r="G88" s="11" t="n">
        <v>0</v>
      </c>
      <c r="H88" s="17">
        <f>G88-F88</f>
        <v/>
      </c>
      <c r="I88" s="21" t="inlineStr">
        <is>
          <t>Missed</t>
        </is>
      </c>
      <c r="J88" s="9" t="inlineStr">
        <is>
          <t>EMP04</t>
        </is>
      </c>
      <c r="K88" s="10" t="inlineStr"/>
    </row>
    <row r="89">
      <c r="A89" s="14" t="inlineStr">
        <is>
          <t>P008</t>
        </is>
      </c>
      <c r="B89" s="15" t="inlineStr">
        <is>
          <t>Michael Scott</t>
        </is>
      </c>
      <c r="C89" s="14" t="inlineStr">
        <is>
          <t>Pension</t>
        </is>
      </c>
      <c r="D89" s="14" t="inlineStr">
        <is>
          <t>Feb</t>
        </is>
      </c>
      <c r="E89" s="14" t="n">
        <v>2</v>
      </c>
      <c r="F89" s="16" t="n">
        <v>2353.53</v>
      </c>
      <c r="G89" s="16" t="n">
        <v>0</v>
      </c>
      <c r="H89" s="17">
        <f>G89-F89</f>
        <v/>
      </c>
      <c r="I89" s="21" t="inlineStr">
        <is>
          <t>Missed</t>
        </is>
      </c>
      <c r="J89" s="14" t="inlineStr">
        <is>
          <t>EMP03</t>
        </is>
      </c>
      <c r="K89" s="15" t="inlineStr"/>
    </row>
    <row r="90">
      <c r="A90" s="9" t="inlineStr">
        <is>
          <t>P008</t>
        </is>
      </c>
      <c r="B90" s="10" t="inlineStr">
        <is>
          <t>Michael Scott</t>
        </is>
      </c>
      <c r="C90" s="9" t="inlineStr">
        <is>
          <t>Pension</t>
        </is>
      </c>
      <c r="D90" s="9" t="inlineStr">
        <is>
          <t>Mar</t>
        </is>
      </c>
      <c r="E90" s="9" t="n">
        <v>3</v>
      </c>
      <c r="F90" s="11" t="n">
        <v>2353.53</v>
      </c>
      <c r="G90" s="11" t="n">
        <v>2353.53</v>
      </c>
      <c r="H90" s="12">
        <f>G90-F90</f>
        <v/>
      </c>
      <c r="I90" s="13" t="inlineStr">
        <is>
          <t>Paid</t>
        </is>
      </c>
      <c r="J90" s="9" t="inlineStr">
        <is>
          <t>EMP02</t>
        </is>
      </c>
      <c r="K90" s="10" t="inlineStr"/>
    </row>
    <row r="91">
      <c r="A91" s="14" t="inlineStr">
        <is>
          <t>P008</t>
        </is>
      </c>
      <c r="B91" s="15" t="inlineStr">
        <is>
          <t>Michael Scott</t>
        </is>
      </c>
      <c r="C91" s="14" t="inlineStr">
        <is>
          <t>Pension</t>
        </is>
      </c>
      <c r="D91" s="14" t="inlineStr">
        <is>
          <t>Apr</t>
        </is>
      </c>
      <c r="E91" s="14" t="n">
        <v>4</v>
      </c>
      <c r="F91" s="16" t="n">
        <v>2353.53</v>
      </c>
      <c r="G91" s="16" t="n">
        <v>2353.53</v>
      </c>
      <c r="H91" s="12">
        <f>G91-F91</f>
        <v/>
      </c>
      <c r="I91" s="13" t="inlineStr">
        <is>
          <t>Paid</t>
        </is>
      </c>
      <c r="J91" s="14" t="inlineStr">
        <is>
          <t>EMP03</t>
        </is>
      </c>
      <c r="K91" s="15" t="inlineStr"/>
    </row>
    <row r="92">
      <c r="A92" s="9" t="inlineStr">
        <is>
          <t>P008</t>
        </is>
      </c>
      <c r="B92" s="10" t="inlineStr">
        <is>
          <t>Michael Scott</t>
        </is>
      </c>
      <c r="C92" s="9" t="inlineStr">
        <is>
          <t>Pension</t>
        </is>
      </c>
      <c r="D92" s="9" t="inlineStr">
        <is>
          <t>May</t>
        </is>
      </c>
      <c r="E92" s="9" t="n">
        <v>5</v>
      </c>
      <c r="F92" s="11" t="n">
        <v>2353.53</v>
      </c>
      <c r="G92" s="11" t="n">
        <v>2353.53</v>
      </c>
      <c r="H92" s="12">
        <f>G92-F92</f>
        <v/>
      </c>
      <c r="I92" s="13" t="inlineStr">
        <is>
          <t>Paid</t>
        </is>
      </c>
      <c r="J92" s="9" t="inlineStr">
        <is>
          <t>EMP04</t>
        </is>
      </c>
      <c r="K92" s="10" t="inlineStr"/>
    </row>
    <row r="93">
      <c r="A93" s="14" t="inlineStr">
        <is>
          <t>P008</t>
        </is>
      </c>
      <c r="B93" s="15" t="inlineStr">
        <is>
          <t>Michael Scott</t>
        </is>
      </c>
      <c r="C93" s="14" t="inlineStr">
        <is>
          <t>Pension</t>
        </is>
      </c>
      <c r="D93" s="14" t="inlineStr">
        <is>
          <t>Jun</t>
        </is>
      </c>
      <c r="E93" s="14" t="n">
        <v>6</v>
      </c>
      <c r="F93" s="16" t="n">
        <v>2353.53</v>
      </c>
      <c r="G93" s="16" t="n">
        <v>2353.53</v>
      </c>
      <c r="H93" s="12">
        <f>G93-F93</f>
        <v/>
      </c>
      <c r="I93" s="13" t="inlineStr">
        <is>
          <t>Paid</t>
        </is>
      </c>
      <c r="J93" s="14" t="inlineStr">
        <is>
          <t>EMP05</t>
        </is>
      </c>
      <c r="K93" s="15" t="inlineStr"/>
    </row>
    <row r="94">
      <c r="A94" s="9" t="inlineStr">
        <is>
          <t>P008</t>
        </is>
      </c>
      <c r="B94" s="10" t="inlineStr">
        <is>
          <t>Michael Scott</t>
        </is>
      </c>
      <c r="C94" s="9" t="inlineStr">
        <is>
          <t>Pension</t>
        </is>
      </c>
      <c r="D94" s="9" t="inlineStr">
        <is>
          <t>Jul</t>
        </is>
      </c>
      <c r="E94" s="9" t="n">
        <v>7</v>
      </c>
      <c r="F94" s="11" t="n">
        <v>2353.53</v>
      </c>
      <c r="G94" s="11" t="n">
        <v>2353.53</v>
      </c>
      <c r="H94" s="12">
        <f>G94-F94</f>
        <v/>
      </c>
      <c r="I94" s="13" t="inlineStr">
        <is>
          <t>Paid</t>
        </is>
      </c>
      <c r="J94" s="9" t="inlineStr">
        <is>
          <t>EMP02</t>
        </is>
      </c>
      <c r="K94" s="10" t="inlineStr"/>
    </row>
    <row r="95">
      <c r="A95" s="14" t="inlineStr">
        <is>
          <t>P008</t>
        </is>
      </c>
      <c r="B95" s="15" t="inlineStr">
        <is>
          <t>Michael Scott</t>
        </is>
      </c>
      <c r="C95" s="14" t="inlineStr">
        <is>
          <t>Pension</t>
        </is>
      </c>
      <c r="D95" s="14" t="inlineStr">
        <is>
          <t>Aug</t>
        </is>
      </c>
      <c r="E95" s="14" t="n">
        <v>8</v>
      </c>
      <c r="F95" s="16" t="n">
        <v>2353.53</v>
      </c>
      <c r="G95" s="16" t="n">
        <v>1517.32</v>
      </c>
      <c r="H95" s="17">
        <f>G95-F95</f>
        <v/>
      </c>
      <c r="I95" s="18" t="inlineStr">
        <is>
          <t>Under Review</t>
        </is>
      </c>
      <c r="J95" s="14" t="inlineStr">
        <is>
          <t>EMP05</t>
        </is>
      </c>
      <c r="K95" s="15" t="inlineStr">
        <is>
          <t>Awaiting confirmation</t>
        </is>
      </c>
    </row>
    <row r="96">
      <c r="A96" s="9" t="inlineStr">
        <is>
          <t>P008</t>
        </is>
      </c>
      <c r="B96" s="10" t="inlineStr">
        <is>
          <t>Michael Scott</t>
        </is>
      </c>
      <c r="C96" s="9" t="inlineStr">
        <is>
          <t>Pension</t>
        </is>
      </c>
      <c r="D96" s="9" t="inlineStr">
        <is>
          <t>Sep</t>
        </is>
      </c>
      <c r="E96" s="9" t="n">
        <v>9</v>
      </c>
      <c r="F96" s="11" t="n">
        <v>2353.53</v>
      </c>
      <c r="G96" s="11" t="n">
        <v>2353.53</v>
      </c>
      <c r="H96" s="12">
        <f>G96-F96</f>
        <v/>
      </c>
      <c r="I96" s="13" t="inlineStr">
        <is>
          <t>Paid</t>
        </is>
      </c>
      <c r="J96" s="9" t="inlineStr">
        <is>
          <t>EMP05</t>
        </is>
      </c>
      <c r="K96" s="10" t="inlineStr"/>
    </row>
    <row r="97">
      <c r="A97" s="14" t="inlineStr">
        <is>
          <t>P008</t>
        </is>
      </c>
      <c r="B97" s="15" t="inlineStr">
        <is>
          <t>Michael Scott</t>
        </is>
      </c>
      <c r="C97" s="14" t="inlineStr">
        <is>
          <t>Pension</t>
        </is>
      </c>
      <c r="D97" s="14" t="inlineStr">
        <is>
          <t>Oct</t>
        </is>
      </c>
      <c r="E97" s="14" t="n">
        <v>10</v>
      </c>
      <c r="F97" s="16" t="n">
        <v>2353.53</v>
      </c>
      <c r="G97" s="16" t="n">
        <v>2353.53</v>
      </c>
      <c r="H97" s="12">
        <f>G97-F97</f>
        <v/>
      </c>
      <c r="I97" s="13" t="inlineStr">
        <is>
          <t>Paid</t>
        </is>
      </c>
      <c r="J97" s="14" t="inlineStr">
        <is>
          <t>EMP01</t>
        </is>
      </c>
      <c r="K97" s="15" t="inlineStr"/>
    </row>
    <row r="98">
      <c r="A98" s="9" t="inlineStr">
        <is>
          <t>P008</t>
        </is>
      </c>
      <c r="B98" s="10" t="inlineStr">
        <is>
          <t>Michael Scott</t>
        </is>
      </c>
      <c r="C98" s="9" t="inlineStr">
        <is>
          <t>Pension</t>
        </is>
      </c>
      <c r="D98" s="9" t="inlineStr">
        <is>
          <t>Nov</t>
        </is>
      </c>
      <c r="E98" s="9" t="n">
        <v>11</v>
      </c>
      <c r="F98" s="11" t="n">
        <v>2353.53</v>
      </c>
      <c r="G98" s="11" t="n">
        <v>2353.53</v>
      </c>
      <c r="H98" s="12">
        <f>G98-F98</f>
        <v/>
      </c>
      <c r="I98" s="13" t="inlineStr">
        <is>
          <t>Paid</t>
        </is>
      </c>
      <c r="J98" s="9" t="inlineStr">
        <is>
          <t>EMP05</t>
        </is>
      </c>
      <c r="K98" s="10" t="inlineStr"/>
    </row>
    <row r="99">
      <c r="A99" s="14" t="inlineStr">
        <is>
          <t>P008</t>
        </is>
      </c>
      <c r="B99" s="15" t="inlineStr">
        <is>
          <t>Michael Scott</t>
        </is>
      </c>
      <c r="C99" s="14" t="inlineStr">
        <is>
          <t>Pension</t>
        </is>
      </c>
      <c r="D99" s="14" t="inlineStr">
        <is>
          <t>Dec</t>
        </is>
      </c>
      <c r="E99" s="14" t="n">
        <v>12</v>
      </c>
      <c r="F99" s="16" t="n">
        <v>2353.53</v>
      </c>
      <c r="G99" s="16" t="n">
        <v>2353.53</v>
      </c>
      <c r="H99" s="12">
        <f>G99-F99</f>
        <v/>
      </c>
      <c r="I99" s="13" t="inlineStr">
        <is>
          <t>Paid</t>
        </is>
      </c>
      <c r="J99" s="14" t="inlineStr">
        <is>
          <t>EMP02</t>
        </is>
      </c>
      <c r="K99" s="15" t="inlineStr"/>
    </row>
    <row r="100">
      <c r="A100" s="9" t="inlineStr">
        <is>
          <t>P009</t>
        </is>
      </c>
      <c r="B100" s="10" t="inlineStr">
        <is>
          <t>Barbara Lee</t>
        </is>
      </c>
      <c r="C100" s="9" t="inlineStr">
        <is>
          <t>Pension</t>
        </is>
      </c>
      <c r="D100" s="9" t="inlineStr">
        <is>
          <t>Jan</t>
        </is>
      </c>
      <c r="E100" s="9" t="n">
        <v>1</v>
      </c>
      <c r="F100" s="11" t="n">
        <v>2136.51</v>
      </c>
      <c r="G100" s="11" t="n">
        <v>2136.51</v>
      </c>
      <c r="H100" s="12">
        <f>G100-F100</f>
        <v/>
      </c>
      <c r="I100" s="13" t="inlineStr">
        <is>
          <t>Paid</t>
        </is>
      </c>
      <c r="J100" s="9" t="inlineStr">
        <is>
          <t>EMP05</t>
        </is>
      </c>
      <c r="K100" s="10" t="inlineStr"/>
    </row>
    <row r="101">
      <c r="A101" s="14" t="inlineStr">
        <is>
          <t>P009</t>
        </is>
      </c>
      <c r="B101" s="15" t="inlineStr">
        <is>
          <t>Barbara Lee</t>
        </is>
      </c>
      <c r="C101" s="14" t="inlineStr">
        <is>
          <t>Pension</t>
        </is>
      </c>
      <c r="D101" s="14" t="inlineStr">
        <is>
          <t>Feb</t>
        </is>
      </c>
      <c r="E101" s="14" t="n">
        <v>2</v>
      </c>
      <c r="F101" s="16" t="n">
        <v>2136.51</v>
      </c>
      <c r="G101" s="16" t="n">
        <v>1734.04</v>
      </c>
      <c r="H101" s="17">
        <f>G101-F101</f>
        <v/>
      </c>
      <c r="I101" s="18" t="inlineStr">
        <is>
          <t>Under Review</t>
        </is>
      </c>
      <c r="J101" s="14" t="inlineStr">
        <is>
          <t>EMP03</t>
        </is>
      </c>
      <c r="K101" s="15" t="inlineStr">
        <is>
          <t>Awaiting confirmation</t>
        </is>
      </c>
    </row>
    <row r="102">
      <c r="A102" s="9" t="inlineStr">
        <is>
          <t>P009</t>
        </is>
      </c>
      <c r="B102" s="10" t="inlineStr">
        <is>
          <t>Barbara Lee</t>
        </is>
      </c>
      <c r="C102" s="9" t="inlineStr">
        <is>
          <t>Pension</t>
        </is>
      </c>
      <c r="D102" s="9" t="inlineStr">
        <is>
          <t>Mar</t>
        </is>
      </c>
      <c r="E102" s="9" t="n">
        <v>3</v>
      </c>
      <c r="F102" s="11" t="n">
        <v>2136.51</v>
      </c>
      <c r="G102" s="11" t="n">
        <v>2136.51</v>
      </c>
      <c r="H102" s="12">
        <f>G102-F102</f>
        <v/>
      </c>
      <c r="I102" s="13" t="inlineStr">
        <is>
          <t>Paid</t>
        </is>
      </c>
      <c r="J102" s="9" t="inlineStr">
        <is>
          <t>EMP05</t>
        </is>
      </c>
      <c r="K102" s="10" t="inlineStr"/>
    </row>
    <row r="103">
      <c r="A103" s="14" t="inlineStr">
        <is>
          <t>P009</t>
        </is>
      </c>
      <c r="B103" s="15" t="inlineStr">
        <is>
          <t>Barbara Lee</t>
        </is>
      </c>
      <c r="C103" s="14" t="inlineStr">
        <is>
          <t>Pension</t>
        </is>
      </c>
      <c r="D103" s="14" t="inlineStr">
        <is>
          <t>Apr</t>
        </is>
      </c>
      <c r="E103" s="14" t="n">
        <v>4</v>
      </c>
      <c r="F103" s="16" t="n">
        <v>2136.51</v>
      </c>
      <c r="G103" s="16" t="n">
        <v>2136.51</v>
      </c>
      <c r="H103" s="12">
        <f>G103-F103</f>
        <v/>
      </c>
      <c r="I103" s="13" t="inlineStr">
        <is>
          <t>Paid</t>
        </is>
      </c>
      <c r="J103" s="14" t="inlineStr">
        <is>
          <t>EMP02</t>
        </is>
      </c>
      <c r="K103" s="15" t="inlineStr"/>
    </row>
    <row r="104">
      <c r="A104" s="9" t="inlineStr">
        <is>
          <t>P009</t>
        </is>
      </c>
      <c r="B104" s="10" t="inlineStr">
        <is>
          <t>Barbara Lee</t>
        </is>
      </c>
      <c r="C104" s="9" t="inlineStr">
        <is>
          <t>Pension</t>
        </is>
      </c>
      <c r="D104" s="9" t="inlineStr">
        <is>
          <t>May</t>
        </is>
      </c>
      <c r="E104" s="9" t="n">
        <v>5</v>
      </c>
      <c r="F104" s="11" t="n">
        <v>2136.51</v>
      </c>
      <c r="G104" s="11" t="n">
        <v>2136.51</v>
      </c>
      <c r="H104" s="12">
        <f>G104-F104</f>
        <v/>
      </c>
      <c r="I104" s="19" t="inlineStr">
        <is>
          <t>Late</t>
        </is>
      </c>
      <c r="J104" s="9" t="inlineStr">
        <is>
          <t>EMP02</t>
        </is>
      </c>
      <c r="K104" s="10" t="inlineStr"/>
    </row>
    <row r="105">
      <c r="A105" s="14" t="inlineStr">
        <is>
          <t>P009</t>
        </is>
      </c>
      <c r="B105" s="15" t="inlineStr">
        <is>
          <t>Barbara Lee</t>
        </is>
      </c>
      <c r="C105" s="14" t="inlineStr">
        <is>
          <t>Pension</t>
        </is>
      </c>
      <c r="D105" s="14" t="inlineStr">
        <is>
          <t>Jun</t>
        </is>
      </c>
      <c r="E105" s="14" t="n">
        <v>6</v>
      </c>
      <c r="F105" s="16" t="n">
        <v>2136.51</v>
      </c>
      <c r="G105" s="16" t="n">
        <v>2136.51</v>
      </c>
      <c r="H105" s="12">
        <f>G105-F105</f>
        <v/>
      </c>
      <c r="I105" s="13" t="inlineStr">
        <is>
          <t>Paid</t>
        </is>
      </c>
      <c r="J105" s="14" t="inlineStr">
        <is>
          <t>EMP05</t>
        </is>
      </c>
      <c r="K105" s="15" t="inlineStr"/>
    </row>
    <row r="106">
      <c r="A106" s="9" t="inlineStr">
        <is>
          <t>P009</t>
        </is>
      </c>
      <c r="B106" s="10" t="inlineStr">
        <is>
          <t>Barbara Lee</t>
        </is>
      </c>
      <c r="C106" s="9" t="inlineStr">
        <is>
          <t>Pension</t>
        </is>
      </c>
      <c r="D106" s="9" t="inlineStr">
        <is>
          <t>Jul</t>
        </is>
      </c>
      <c r="E106" s="9" t="n">
        <v>7</v>
      </c>
      <c r="F106" s="11" t="n">
        <v>2136.51</v>
      </c>
      <c r="G106" s="11" t="n">
        <v>0</v>
      </c>
      <c r="H106" s="17">
        <f>G106-F106</f>
        <v/>
      </c>
      <c r="I106" s="21" t="inlineStr">
        <is>
          <t>Missed</t>
        </is>
      </c>
      <c r="J106" s="9" t="inlineStr">
        <is>
          <t>EMP03</t>
        </is>
      </c>
      <c r="K106" s="10" t="inlineStr"/>
    </row>
    <row r="107">
      <c r="A107" s="14" t="inlineStr">
        <is>
          <t>P009</t>
        </is>
      </c>
      <c r="B107" s="15" t="inlineStr">
        <is>
          <t>Barbara Lee</t>
        </is>
      </c>
      <c r="C107" s="14" t="inlineStr">
        <is>
          <t>Pension</t>
        </is>
      </c>
      <c r="D107" s="14" t="inlineStr">
        <is>
          <t>Aug</t>
        </is>
      </c>
      <c r="E107" s="14" t="n">
        <v>8</v>
      </c>
      <c r="F107" s="16" t="n">
        <v>2136.51</v>
      </c>
      <c r="G107" s="16" t="n">
        <v>2136.51</v>
      </c>
      <c r="H107" s="12">
        <f>G107-F107</f>
        <v/>
      </c>
      <c r="I107" s="13" t="inlineStr">
        <is>
          <t>Paid</t>
        </is>
      </c>
      <c r="J107" s="14" t="inlineStr">
        <is>
          <t>EMP01</t>
        </is>
      </c>
      <c r="K107" s="15" t="inlineStr"/>
    </row>
    <row r="108">
      <c r="A108" s="9" t="inlineStr">
        <is>
          <t>P009</t>
        </is>
      </c>
      <c r="B108" s="10" t="inlineStr">
        <is>
          <t>Barbara Lee</t>
        </is>
      </c>
      <c r="C108" s="9" t="inlineStr">
        <is>
          <t>Pension</t>
        </is>
      </c>
      <c r="D108" s="9" t="inlineStr">
        <is>
          <t>Sep</t>
        </is>
      </c>
      <c r="E108" s="9" t="n">
        <v>9</v>
      </c>
      <c r="F108" s="11" t="n">
        <v>2136.51</v>
      </c>
      <c r="G108" s="11" t="n">
        <v>2136.51</v>
      </c>
      <c r="H108" s="12">
        <f>G108-F108</f>
        <v/>
      </c>
      <c r="I108" s="13" t="inlineStr">
        <is>
          <t>Paid</t>
        </is>
      </c>
      <c r="J108" s="9" t="inlineStr">
        <is>
          <t>EMP04</t>
        </is>
      </c>
      <c r="K108" s="10" t="inlineStr"/>
    </row>
    <row r="109">
      <c r="A109" s="14" t="inlineStr">
        <is>
          <t>P009</t>
        </is>
      </c>
      <c r="B109" s="15" t="inlineStr">
        <is>
          <t>Barbara Lee</t>
        </is>
      </c>
      <c r="C109" s="14" t="inlineStr">
        <is>
          <t>Pension</t>
        </is>
      </c>
      <c r="D109" s="14" t="inlineStr">
        <is>
          <t>Oct</t>
        </is>
      </c>
      <c r="E109" s="14" t="n">
        <v>10</v>
      </c>
      <c r="F109" s="16" t="n">
        <v>2136.51</v>
      </c>
      <c r="G109" s="16" t="n">
        <v>2136.51</v>
      </c>
      <c r="H109" s="12">
        <f>G109-F109</f>
        <v/>
      </c>
      <c r="I109" s="13" t="inlineStr">
        <is>
          <t>Paid</t>
        </is>
      </c>
      <c r="J109" s="14" t="inlineStr">
        <is>
          <t>EMP02</t>
        </is>
      </c>
      <c r="K109" s="15" t="inlineStr"/>
    </row>
    <row r="110">
      <c r="A110" s="9" t="inlineStr">
        <is>
          <t>P009</t>
        </is>
      </c>
      <c r="B110" s="10" t="inlineStr">
        <is>
          <t>Barbara Lee</t>
        </is>
      </c>
      <c r="C110" s="9" t="inlineStr">
        <is>
          <t>Pension</t>
        </is>
      </c>
      <c r="D110" s="9" t="inlineStr">
        <is>
          <t>Nov</t>
        </is>
      </c>
      <c r="E110" s="9" t="n">
        <v>11</v>
      </c>
      <c r="F110" s="11" t="n">
        <v>2136.51</v>
      </c>
      <c r="G110" s="11" t="n">
        <v>2861.06</v>
      </c>
      <c r="H110" s="20">
        <f>G110-F110</f>
        <v/>
      </c>
      <c r="I110" s="21" t="inlineStr">
        <is>
          <t>Discrepancy</t>
        </is>
      </c>
      <c r="J110" s="9" t="inlineStr">
        <is>
          <t>EMP04</t>
        </is>
      </c>
      <c r="K110" s="10" t="inlineStr">
        <is>
          <t>Awaiting confirmation</t>
        </is>
      </c>
    </row>
    <row r="111">
      <c r="A111" s="14" t="inlineStr">
        <is>
          <t>P009</t>
        </is>
      </c>
      <c r="B111" s="15" t="inlineStr">
        <is>
          <t>Barbara Lee</t>
        </is>
      </c>
      <c r="C111" s="14" t="inlineStr">
        <is>
          <t>Pension</t>
        </is>
      </c>
      <c r="D111" s="14" t="inlineStr">
        <is>
          <t>Dec</t>
        </is>
      </c>
      <c r="E111" s="14" t="n">
        <v>12</v>
      </c>
      <c r="F111" s="16" t="n">
        <v>2136.51</v>
      </c>
      <c r="G111" s="16" t="n">
        <v>2136.51</v>
      </c>
      <c r="H111" s="12">
        <f>G111-F111</f>
        <v/>
      </c>
      <c r="I111" s="13" t="inlineStr">
        <is>
          <t>Paid</t>
        </is>
      </c>
      <c r="J111" s="14" t="inlineStr">
        <is>
          <t>EMP03</t>
        </is>
      </c>
      <c r="K111" s="15" t="inlineStr"/>
    </row>
    <row r="112">
      <c r="A112" s="9" t="inlineStr">
        <is>
          <t>P010</t>
        </is>
      </c>
      <c r="B112" s="10" t="inlineStr">
        <is>
          <t>William Chen</t>
        </is>
      </c>
      <c r="C112" s="9" t="inlineStr">
        <is>
          <t>Allowance</t>
        </is>
      </c>
      <c r="D112" s="9" t="inlineStr">
        <is>
          <t>Jan</t>
        </is>
      </c>
      <c r="E112" s="9" t="n">
        <v>1</v>
      </c>
      <c r="F112" s="11" t="n">
        <v>1328.36</v>
      </c>
      <c r="G112" s="11" t="n">
        <v>1328.36</v>
      </c>
      <c r="H112" s="12">
        <f>G112-F112</f>
        <v/>
      </c>
      <c r="I112" s="13" t="inlineStr">
        <is>
          <t>Paid</t>
        </is>
      </c>
      <c r="J112" s="9" t="inlineStr">
        <is>
          <t>EMP02</t>
        </is>
      </c>
      <c r="K112" s="10" t="inlineStr"/>
    </row>
    <row r="113">
      <c r="A113" s="14" t="inlineStr">
        <is>
          <t>P010</t>
        </is>
      </c>
      <c r="B113" s="15" t="inlineStr">
        <is>
          <t>William Chen</t>
        </is>
      </c>
      <c r="C113" s="14" t="inlineStr">
        <is>
          <t>Allowance</t>
        </is>
      </c>
      <c r="D113" s="14" t="inlineStr">
        <is>
          <t>Feb</t>
        </is>
      </c>
      <c r="E113" s="14" t="n">
        <v>2</v>
      </c>
      <c r="F113" s="16" t="n">
        <v>1328.36</v>
      </c>
      <c r="G113" s="16" t="n">
        <v>0</v>
      </c>
      <c r="H113" s="17">
        <f>G113-F113</f>
        <v/>
      </c>
      <c r="I113" s="21" t="inlineStr">
        <is>
          <t>Missed</t>
        </is>
      </c>
      <c r="J113" s="14" t="inlineStr">
        <is>
          <t>EMP02</t>
        </is>
      </c>
      <c r="K113" s="15" t="inlineStr"/>
    </row>
    <row r="114">
      <c r="A114" s="9" t="inlineStr">
        <is>
          <t>P010</t>
        </is>
      </c>
      <c r="B114" s="10" t="inlineStr">
        <is>
          <t>William Chen</t>
        </is>
      </c>
      <c r="C114" s="9" t="inlineStr">
        <is>
          <t>Allowance</t>
        </is>
      </c>
      <c r="D114" s="9" t="inlineStr">
        <is>
          <t>Mar</t>
        </is>
      </c>
      <c r="E114" s="9" t="n">
        <v>3</v>
      </c>
      <c r="F114" s="11" t="n">
        <v>1328.36</v>
      </c>
      <c r="G114" s="11" t="n">
        <v>1328.36</v>
      </c>
      <c r="H114" s="12">
        <f>G114-F114</f>
        <v/>
      </c>
      <c r="I114" s="13" t="inlineStr">
        <is>
          <t>Paid</t>
        </is>
      </c>
      <c r="J114" s="9" t="inlineStr">
        <is>
          <t>EMP02</t>
        </is>
      </c>
      <c r="K114" s="10" t="inlineStr"/>
    </row>
    <row r="115">
      <c r="A115" s="14" t="inlineStr">
        <is>
          <t>P010</t>
        </is>
      </c>
      <c r="B115" s="15" t="inlineStr">
        <is>
          <t>William Chen</t>
        </is>
      </c>
      <c r="C115" s="14" t="inlineStr">
        <is>
          <t>Allowance</t>
        </is>
      </c>
      <c r="D115" s="14" t="inlineStr">
        <is>
          <t>Apr</t>
        </is>
      </c>
      <c r="E115" s="14" t="n">
        <v>4</v>
      </c>
      <c r="F115" s="16" t="n">
        <v>1328.36</v>
      </c>
      <c r="G115" s="16" t="n">
        <v>0</v>
      </c>
      <c r="H115" s="17">
        <f>G115-F115</f>
        <v/>
      </c>
      <c r="I115" s="21" t="inlineStr">
        <is>
          <t>Missed</t>
        </is>
      </c>
      <c r="J115" s="14" t="inlineStr">
        <is>
          <t>EMP05</t>
        </is>
      </c>
      <c r="K115" s="15" t="inlineStr"/>
    </row>
    <row r="116">
      <c r="A116" s="9" t="inlineStr">
        <is>
          <t>P010</t>
        </is>
      </c>
      <c r="B116" s="10" t="inlineStr">
        <is>
          <t>William Chen</t>
        </is>
      </c>
      <c r="C116" s="9" t="inlineStr">
        <is>
          <t>Allowance</t>
        </is>
      </c>
      <c r="D116" s="9" t="inlineStr">
        <is>
          <t>May</t>
        </is>
      </c>
      <c r="E116" s="9" t="n">
        <v>5</v>
      </c>
      <c r="F116" s="11" t="n">
        <v>1328.36</v>
      </c>
      <c r="G116" s="11" t="n">
        <v>1740.3</v>
      </c>
      <c r="H116" s="20">
        <f>G116-F116</f>
        <v/>
      </c>
      <c r="I116" s="21" t="inlineStr">
        <is>
          <t>Discrepancy</t>
        </is>
      </c>
      <c r="J116" s="9" t="inlineStr">
        <is>
          <t>EMP04</t>
        </is>
      </c>
      <c r="K116" s="10" t="inlineStr">
        <is>
          <t>Awaiting confirmation</t>
        </is>
      </c>
    </row>
    <row r="117">
      <c r="A117" s="14" t="inlineStr">
        <is>
          <t>P010</t>
        </is>
      </c>
      <c r="B117" s="15" t="inlineStr">
        <is>
          <t>William Chen</t>
        </is>
      </c>
      <c r="C117" s="14" t="inlineStr">
        <is>
          <t>Allowance</t>
        </is>
      </c>
      <c r="D117" s="14" t="inlineStr">
        <is>
          <t>Jun</t>
        </is>
      </c>
      <c r="E117" s="14" t="n">
        <v>6</v>
      </c>
      <c r="F117" s="16" t="n">
        <v>1328.36</v>
      </c>
      <c r="G117" s="16" t="n">
        <v>1328.36</v>
      </c>
      <c r="H117" s="12">
        <f>G117-F117</f>
        <v/>
      </c>
      <c r="I117" s="13" t="inlineStr">
        <is>
          <t>Paid</t>
        </is>
      </c>
      <c r="J117" s="14" t="inlineStr">
        <is>
          <t>EMP01</t>
        </is>
      </c>
      <c r="K117" s="15" t="inlineStr"/>
    </row>
    <row r="118">
      <c r="A118" s="9" t="inlineStr">
        <is>
          <t>P010</t>
        </is>
      </c>
      <c r="B118" s="10" t="inlineStr">
        <is>
          <t>William Chen</t>
        </is>
      </c>
      <c r="C118" s="9" t="inlineStr">
        <is>
          <t>Allowance</t>
        </is>
      </c>
      <c r="D118" s="9" t="inlineStr">
        <is>
          <t>Jul</t>
        </is>
      </c>
      <c r="E118" s="9" t="n">
        <v>7</v>
      </c>
      <c r="F118" s="11" t="n">
        <v>1328.36</v>
      </c>
      <c r="G118" s="11" t="n">
        <v>1328.36</v>
      </c>
      <c r="H118" s="12">
        <f>G118-F118</f>
        <v/>
      </c>
      <c r="I118" s="13" t="inlineStr">
        <is>
          <t>Paid</t>
        </is>
      </c>
      <c r="J118" s="9" t="inlineStr">
        <is>
          <t>EMP04</t>
        </is>
      </c>
      <c r="K118" s="10" t="inlineStr"/>
    </row>
    <row r="119">
      <c r="A119" s="14" t="inlineStr">
        <is>
          <t>P010</t>
        </is>
      </c>
      <c r="B119" s="15" t="inlineStr">
        <is>
          <t>William Chen</t>
        </is>
      </c>
      <c r="C119" s="14" t="inlineStr">
        <is>
          <t>Allowance</t>
        </is>
      </c>
      <c r="D119" s="14" t="inlineStr">
        <is>
          <t>Aug</t>
        </is>
      </c>
      <c r="E119" s="14" t="n">
        <v>8</v>
      </c>
      <c r="F119" s="16" t="n">
        <v>1328.36</v>
      </c>
      <c r="G119" s="16" t="n">
        <v>1328.36</v>
      </c>
      <c r="H119" s="12">
        <f>G119-F119</f>
        <v/>
      </c>
      <c r="I119" s="13" t="inlineStr">
        <is>
          <t>Paid</t>
        </is>
      </c>
      <c r="J119" s="14" t="inlineStr">
        <is>
          <t>EMP04</t>
        </is>
      </c>
      <c r="K119" s="15" t="inlineStr"/>
    </row>
    <row r="120">
      <c r="A120" s="9" t="inlineStr">
        <is>
          <t>P010</t>
        </is>
      </c>
      <c r="B120" s="10" t="inlineStr">
        <is>
          <t>William Chen</t>
        </is>
      </c>
      <c r="C120" s="9" t="inlineStr">
        <is>
          <t>Allowance</t>
        </is>
      </c>
      <c r="D120" s="9" t="inlineStr">
        <is>
          <t>Sep</t>
        </is>
      </c>
      <c r="E120" s="9" t="n">
        <v>9</v>
      </c>
      <c r="F120" s="11" t="n">
        <v>1328.36</v>
      </c>
      <c r="G120" s="11" t="n">
        <v>1328.36</v>
      </c>
      <c r="H120" s="12">
        <f>G120-F120</f>
        <v/>
      </c>
      <c r="I120" s="13" t="inlineStr">
        <is>
          <t>Paid</t>
        </is>
      </c>
      <c r="J120" s="9" t="inlineStr">
        <is>
          <t>EMP04</t>
        </is>
      </c>
      <c r="K120" s="10" t="inlineStr"/>
    </row>
    <row r="121">
      <c r="A121" s="14" t="inlineStr">
        <is>
          <t>P010</t>
        </is>
      </c>
      <c r="B121" s="15" t="inlineStr">
        <is>
          <t>William Chen</t>
        </is>
      </c>
      <c r="C121" s="14" t="inlineStr">
        <is>
          <t>Allowance</t>
        </is>
      </c>
      <c r="D121" s="14" t="inlineStr">
        <is>
          <t>Oct</t>
        </is>
      </c>
      <c r="E121" s="14" t="n">
        <v>10</v>
      </c>
      <c r="F121" s="16" t="n">
        <v>1328.36</v>
      </c>
      <c r="G121" s="16" t="n">
        <v>1328.36</v>
      </c>
      <c r="H121" s="12">
        <f>G121-F121</f>
        <v/>
      </c>
      <c r="I121" s="13" t="inlineStr">
        <is>
          <t>Paid</t>
        </is>
      </c>
      <c r="J121" s="14" t="inlineStr">
        <is>
          <t>EMP01</t>
        </is>
      </c>
      <c r="K121" s="15" t="inlineStr"/>
    </row>
    <row r="122">
      <c r="A122" s="9" t="inlineStr">
        <is>
          <t>P010</t>
        </is>
      </c>
      <c r="B122" s="10" t="inlineStr">
        <is>
          <t>William Chen</t>
        </is>
      </c>
      <c r="C122" s="9" t="inlineStr">
        <is>
          <t>Allowance</t>
        </is>
      </c>
      <c r="D122" s="9" t="inlineStr">
        <is>
          <t>Nov</t>
        </is>
      </c>
      <c r="E122" s="9" t="n">
        <v>11</v>
      </c>
      <c r="F122" s="11" t="n">
        <v>1328.36</v>
      </c>
      <c r="G122" s="11" t="n">
        <v>1328.36</v>
      </c>
      <c r="H122" s="12">
        <f>G122-F122</f>
        <v/>
      </c>
      <c r="I122" s="19" t="inlineStr">
        <is>
          <t>Late</t>
        </is>
      </c>
      <c r="J122" s="9" t="inlineStr">
        <is>
          <t>EMP04</t>
        </is>
      </c>
      <c r="K122" s="10" t="inlineStr"/>
    </row>
    <row r="123">
      <c r="A123" s="14" t="inlineStr">
        <is>
          <t>P010</t>
        </is>
      </c>
      <c r="B123" s="15" t="inlineStr">
        <is>
          <t>William Chen</t>
        </is>
      </c>
      <c r="C123" s="14" t="inlineStr">
        <is>
          <t>Allowance</t>
        </is>
      </c>
      <c r="D123" s="14" t="inlineStr">
        <is>
          <t>Dec</t>
        </is>
      </c>
      <c r="E123" s="14" t="n">
        <v>12</v>
      </c>
      <c r="F123" s="16" t="n">
        <v>1328.36</v>
      </c>
      <c r="G123" s="16" t="n">
        <v>1328.36</v>
      </c>
      <c r="H123" s="12">
        <f>G123-F123</f>
        <v/>
      </c>
      <c r="I123" s="19" t="inlineStr">
        <is>
          <t>Late</t>
        </is>
      </c>
      <c r="J123" s="14" t="inlineStr">
        <is>
          <t>EMP01</t>
        </is>
      </c>
      <c r="K123" s="15" t="inlineStr"/>
    </row>
    <row r="124">
      <c r="A124" s="9" t="inlineStr">
        <is>
          <t>P011</t>
        </is>
      </c>
      <c r="B124" s="10" t="inlineStr">
        <is>
          <t>Elizabeth Brown</t>
        </is>
      </c>
      <c r="C124" s="9" t="inlineStr">
        <is>
          <t>Pension</t>
        </is>
      </c>
      <c r="D124" s="9" t="inlineStr">
        <is>
          <t>Jan</t>
        </is>
      </c>
      <c r="E124" s="9" t="n">
        <v>1</v>
      </c>
      <c r="F124" s="11" t="n">
        <v>2298.91</v>
      </c>
      <c r="G124" s="11" t="n">
        <v>2298.91</v>
      </c>
      <c r="H124" s="12">
        <f>G124-F124</f>
        <v/>
      </c>
      <c r="I124" s="13" t="inlineStr">
        <is>
          <t>Paid</t>
        </is>
      </c>
      <c r="J124" s="9" t="inlineStr">
        <is>
          <t>EMP02</t>
        </is>
      </c>
      <c r="K124" s="10" t="inlineStr"/>
    </row>
    <row r="125">
      <c r="A125" s="14" t="inlineStr">
        <is>
          <t>P011</t>
        </is>
      </c>
      <c r="B125" s="15" t="inlineStr">
        <is>
          <t>Elizabeth Brown</t>
        </is>
      </c>
      <c r="C125" s="14" t="inlineStr">
        <is>
          <t>Pension</t>
        </is>
      </c>
      <c r="D125" s="14" t="inlineStr">
        <is>
          <t>Feb</t>
        </is>
      </c>
      <c r="E125" s="14" t="n">
        <v>2</v>
      </c>
      <c r="F125" s="16" t="n">
        <v>2298.91</v>
      </c>
      <c r="G125" s="16" t="n">
        <v>2298.91</v>
      </c>
      <c r="H125" s="12">
        <f>G125-F125</f>
        <v/>
      </c>
      <c r="I125" s="13" t="inlineStr">
        <is>
          <t>Paid</t>
        </is>
      </c>
      <c r="J125" s="14" t="inlineStr">
        <is>
          <t>EMP02</t>
        </is>
      </c>
      <c r="K125" s="15" t="inlineStr"/>
    </row>
    <row r="126">
      <c r="A126" s="9" t="inlineStr">
        <is>
          <t>P011</t>
        </is>
      </c>
      <c r="B126" s="10" t="inlineStr">
        <is>
          <t>Elizabeth Brown</t>
        </is>
      </c>
      <c r="C126" s="9" t="inlineStr">
        <is>
          <t>Pension</t>
        </is>
      </c>
      <c r="D126" s="9" t="inlineStr">
        <is>
          <t>Mar</t>
        </is>
      </c>
      <c r="E126" s="9" t="n">
        <v>3</v>
      </c>
      <c r="F126" s="11" t="n">
        <v>2298.91</v>
      </c>
      <c r="G126" s="11" t="n">
        <v>3048.84</v>
      </c>
      <c r="H126" s="20">
        <f>G126-F126</f>
        <v/>
      </c>
      <c r="I126" s="21" t="inlineStr">
        <is>
          <t>Discrepancy</t>
        </is>
      </c>
      <c r="J126" s="9" t="inlineStr">
        <is>
          <t>EMP02</t>
        </is>
      </c>
      <c r="K126" s="10" t="inlineStr">
        <is>
          <t>Awaiting confirmation</t>
        </is>
      </c>
    </row>
    <row r="127">
      <c r="A127" s="14" t="inlineStr">
        <is>
          <t>P011</t>
        </is>
      </c>
      <c r="B127" s="15" t="inlineStr">
        <is>
          <t>Elizabeth Brown</t>
        </is>
      </c>
      <c r="C127" s="14" t="inlineStr">
        <is>
          <t>Pension</t>
        </is>
      </c>
      <c r="D127" s="14" t="inlineStr">
        <is>
          <t>Apr</t>
        </is>
      </c>
      <c r="E127" s="14" t="n">
        <v>4</v>
      </c>
      <c r="F127" s="16" t="n">
        <v>2298.91</v>
      </c>
      <c r="G127" s="16" t="n">
        <v>3003.82</v>
      </c>
      <c r="H127" s="20">
        <f>G127-F127</f>
        <v/>
      </c>
      <c r="I127" s="21" t="inlineStr">
        <is>
          <t>Discrepancy</t>
        </is>
      </c>
      <c r="J127" s="14" t="inlineStr">
        <is>
          <t>EMP04</t>
        </is>
      </c>
      <c r="K127" s="15" t="inlineStr">
        <is>
          <t>Awaiting confirmation</t>
        </is>
      </c>
    </row>
    <row r="128">
      <c r="A128" s="9" t="inlineStr">
        <is>
          <t>P011</t>
        </is>
      </c>
      <c r="B128" s="10" t="inlineStr">
        <is>
          <t>Elizabeth Brown</t>
        </is>
      </c>
      <c r="C128" s="9" t="inlineStr">
        <is>
          <t>Pension</t>
        </is>
      </c>
      <c r="D128" s="9" t="inlineStr">
        <is>
          <t>May</t>
        </is>
      </c>
      <c r="E128" s="9" t="n">
        <v>5</v>
      </c>
      <c r="F128" s="11" t="n">
        <v>2298.91</v>
      </c>
      <c r="G128" s="11" t="n">
        <v>2298.91</v>
      </c>
      <c r="H128" s="12">
        <f>G128-F128</f>
        <v/>
      </c>
      <c r="I128" s="13" t="inlineStr">
        <is>
          <t>Paid</t>
        </is>
      </c>
      <c r="J128" s="9" t="inlineStr">
        <is>
          <t>EMP02</t>
        </is>
      </c>
      <c r="K128" s="10" t="inlineStr"/>
    </row>
    <row r="129">
      <c r="A129" s="14" t="inlineStr">
        <is>
          <t>P011</t>
        </is>
      </c>
      <c r="B129" s="15" t="inlineStr">
        <is>
          <t>Elizabeth Brown</t>
        </is>
      </c>
      <c r="C129" s="14" t="inlineStr">
        <is>
          <t>Pension</t>
        </is>
      </c>
      <c r="D129" s="14" t="inlineStr">
        <is>
          <t>Jun</t>
        </is>
      </c>
      <c r="E129" s="14" t="n">
        <v>6</v>
      </c>
      <c r="F129" s="16" t="n">
        <v>2298.91</v>
      </c>
      <c r="G129" s="16" t="n">
        <v>1653.64</v>
      </c>
      <c r="H129" s="17">
        <f>G129-F129</f>
        <v/>
      </c>
      <c r="I129" s="18" t="inlineStr">
        <is>
          <t>Under Review</t>
        </is>
      </c>
      <c r="J129" s="14" t="inlineStr">
        <is>
          <t>EMP01</t>
        </is>
      </c>
      <c r="K129" s="15" t="inlineStr">
        <is>
          <t>Awaiting confirmation</t>
        </is>
      </c>
    </row>
    <row r="130">
      <c r="A130" s="9" t="inlineStr">
        <is>
          <t>P011</t>
        </is>
      </c>
      <c r="B130" s="10" t="inlineStr">
        <is>
          <t>Elizabeth Brown</t>
        </is>
      </c>
      <c r="C130" s="9" t="inlineStr">
        <is>
          <t>Pension</t>
        </is>
      </c>
      <c r="D130" s="9" t="inlineStr">
        <is>
          <t>Jul</t>
        </is>
      </c>
      <c r="E130" s="9" t="n">
        <v>7</v>
      </c>
      <c r="F130" s="11" t="n">
        <v>2298.91</v>
      </c>
      <c r="G130" s="11" t="n">
        <v>2298.91</v>
      </c>
      <c r="H130" s="12">
        <f>G130-F130</f>
        <v/>
      </c>
      <c r="I130" s="13" t="inlineStr">
        <is>
          <t>Paid</t>
        </is>
      </c>
      <c r="J130" s="9" t="inlineStr">
        <is>
          <t>EMP01</t>
        </is>
      </c>
      <c r="K130" s="10" t="inlineStr"/>
    </row>
    <row r="131">
      <c r="A131" s="14" t="inlineStr">
        <is>
          <t>P011</t>
        </is>
      </c>
      <c r="B131" s="15" t="inlineStr">
        <is>
          <t>Elizabeth Brown</t>
        </is>
      </c>
      <c r="C131" s="14" t="inlineStr">
        <is>
          <t>Pension</t>
        </is>
      </c>
      <c r="D131" s="14" t="inlineStr">
        <is>
          <t>Aug</t>
        </is>
      </c>
      <c r="E131" s="14" t="n">
        <v>8</v>
      </c>
      <c r="F131" s="16" t="n">
        <v>2298.91</v>
      </c>
      <c r="G131" s="16" t="n">
        <v>1838.66</v>
      </c>
      <c r="H131" s="17">
        <f>G131-F131</f>
        <v/>
      </c>
      <c r="I131" s="18" t="inlineStr">
        <is>
          <t>Under Review</t>
        </is>
      </c>
      <c r="J131" s="14" t="inlineStr">
        <is>
          <t>EMP02</t>
        </is>
      </c>
      <c r="K131" s="15" t="inlineStr">
        <is>
          <t>Awaiting confirmation</t>
        </is>
      </c>
    </row>
    <row r="132">
      <c r="A132" s="9" t="inlineStr">
        <is>
          <t>P011</t>
        </is>
      </c>
      <c r="B132" s="10" t="inlineStr">
        <is>
          <t>Elizabeth Brown</t>
        </is>
      </c>
      <c r="C132" s="9" t="inlineStr">
        <is>
          <t>Pension</t>
        </is>
      </c>
      <c r="D132" s="9" t="inlineStr">
        <is>
          <t>Sep</t>
        </is>
      </c>
      <c r="E132" s="9" t="n">
        <v>9</v>
      </c>
      <c r="F132" s="11" t="n">
        <v>2298.91</v>
      </c>
      <c r="G132" s="11" t="n">
        <v>2298.91</v>
      </c>
      <c r="H132" s="12">
        <f>G132-F132</f>
        <v/>
      </c>
      <c r="I132" s="19" t="inlineStr">
        <is>
          <t>Late</t>
        </is>
      </c>
      <c r="J132" s="9" t="inlineStr">
        <is>
          <t>EMP02</t>
        </is>
      </c>
      <c r="K132" s="10" t="inlineStr"/>
    </row>
    <row r="133">
      <c r="A133" s="14" t="inlineStr">
        <is>
          <t>P011</t>
        </is>
      </c>
      <c r="B133" s="15" t="inlineStr">
        <is>
          <t>Elizabeth Brown</t>
        </is>
      </c>
      <c r="C133" s="14" t="inlineStr">
        <is>
          <t>Pension</t>
        </is>
      </c>
      <c r="D133" s="14" t="inlineStr">
        <is>
          <t>Oct</t>
        </is>
      </c>
      <c r="E133" s="14" t="n">
        <v>10</v>
      </c>
      <c r="F133" s="16" t="n">
        <v>2298.91</v>
      </c>
      <c r="G133" s="16" t="n">
        <v>2298.91</v>
      </c>
      <c r="H133" s="12">
        <f>G133-F133</f>
        <v/>
      </c>
      <c r="I133" s="13" t="inlineStr">
        <is>
          <t>Paid</t>
        </is>
      </c>
      <c r="J133" s="14" t="inlineStr">
        <is>
          <t>EMP01</t>
        </is>
      </c>
      <c r="K133" s="15" t="inlineStr"/>
    </row>
    <row r="134">
      <c r="A134" s="9" t="inlineStr">
        <is>
          <t>P011</t>
        </is>
      </c>
      <c r="B134" s="10" t="inlineStr">
        <is>
          <t>Elizabeth Brown</t>
        </is>
      </c>
      <c r="C134" s="9" t="inlineStr">
        <is>
          <t>Pension</t>
        </is>
      </c>
      <c r="D134" s="9" t="inlineStr">
        <is>
          <t>Nov</t>
        </is>
      </c>
      <c r="E134" s="9" t="n">
        <v>11</v>
      </c>
      <c r="F134" s="11" t="n">
        <v>2298.91</v>
      </c>
      <c r="G134" s="11" t="n">
        <v>2298.91</v>
      </c>
      <c r="H134" s="12">
        <f>G134-F134</f>
        <v/>
      </c>
      <c r="I134" s="13" t="inlineStr">
        <is>
          <t>Paid</t>
        </is>
      </c>
      <c r="J134" s="9" t="inlineStr">
        <is>
          <t>EMP02</t>
        </is>
      </c>
      <c r="K134" s="10" t="inlineStr"/>
    </row>
    <row r="135">
      <c r="A135" s="14" t="inlineStr">
        <is>
          <t>P011</t>
        </is>
      </c>
      <c r="B135" s="15" t="inlineStr">
        <is>
          <t>Elizabeth Brown</t>
        </is>
      </c>
      <c r="C135" s="14" t="inlineStr">
        <is>
          <t>Pension</t>
        </is>
      </c>
      <c r="D135" s="14" t="inlineStr">
        <is>
          <t>Dec</t>
        </is>
      </c>
      <c r="E135" s="14" t="n">
        <v>12</v>
      </c>
      <c r="F135" s="16" t="n">
        <v>2298.91</v>
      </c>
      <c r="G135" s="16" t="n">
        <v>2298.91</v>
      </c>
      <c r="H135" s="12">
        <f>G135-F135</f>
        <v/>
      </c>
      <c r="I135" s="13" t="inlineStr">
        <is>
          <t>Paid</t>
        </is>
      </c>
      <c r="J135" s="14" t="inlineStr">
        <is>
          <t>EMP05</t>
        </is>
      </c>
      <c r="K135" s="15" t="inlineStr"/>
    </row>
    <row r="136">
      <c r="A136" s="9" t="inlineStr">
        <is>
          <t>P012</t>
        </is>
      </c>
      <c r="B136" s="10" t="inlineStr">
        <is>
          <t>Richard Davis</t>
        </is>
      </c>
      <c r="C136" s="9" t="inlineStr">
        <is>
          <t>Allowance</t>
        </is>
      </c>
      <c r="D136" s="9" t="inlineStr">
        <is>
          <t>Jan</t>
        </is>
      </c>
      <c r="E136" s="9" t="n">
        <v>1</v>
      </c>
      <c r="F136" s="11" t="n">
        <v>1374.76</v>
      </c>
      <c r="G136" s="11" t="n">
        <v>1624.28</v>
      </c>
      <c r="H136" s="20">
        <f>G136-F136</f>
        <v/>
      </c>
      <c r="I136" s="21" t="inlineStr">
        <is>
          <t>Discrepancy</t>
        </is>
      </c>
      <c r="J136" s="9" t="inlineStr">
        <is>
          <t>EMP05</t>
        </is>
      </c>
      <c r="K136" s="10" t="inlineStr">
        <is>
          <t>Awaiting confirmation</t>
        </is>
      </c>
    </row>
    <row r="137">
      <c r="A137" s="14" t="inlineStr">
        <is>
          <t>P012</t>
        </is>
      </c>
      <c r="B137" s="15" t="inlineStr">
        <is>
          <t>Richard Davis</t>
        </is>
      </c>
      <c r="C137" s="14" t="inlineStr">
        <is>
          <t>Allowance</t>
        </is>
      </c>
      <c r="D137" s="14" t="inlineStr">
        <is>
          <t>Feb</t>
        </is>
      </c>
      <c r="E137" s="14" t="n">
        <v>2</v>
      </c>
      <c r="F137" s="16" t="n">
        <v>1374.76</v>
      </c>
      <c r="G137" s="16" t="n">
        <v>1374.76</v>
      </c>
      <c r="H137" s="12">
        <f>G137-F137</f>
        <v/>
      </c>
      <c r="I137" s="19" t="inlineStr">
        <is>
          <t>Late</t>
        </is>
      </c>
      <c r="J137" s="14" t="inlineStr">
        <is>
          <t>EMP02</t>
        </is>
      </c>
      <c r="K137" s="15" t="inlineStr"/>
    </row>
    <row r="138">
      <c r="A138" s="9" t="inlineStr">
        <is>
          <t>P012</t>
        </is>
      </c>
      <c r="B138" s="10" t="inlineStr">
        <is>
          <t>Richard Davis</t>
        </is>
      </c>
      <c r="C138" s="9" t="inlineStr">
        <is>
          <t>Allowance</t>
        </is>
      </c>
      <c r="D138" s="9" t="inlineStr">
        <is>
          <t>Mar</t>
        </is>
      </c>
      <c r="E138" s="9" t="n">
        <v>3</v>
      </c>
      <c r="F138" s="11" t="n">
        <v>1374.76</v>
      </c>
      <c r="G138" s="11" t="n">
        <v>1374.76</v>
      </c>
      <c r="H138" s="12">
        <f>G138-F138</f>
        <v/>
      </c>
      <c r="I138" s="13" t="inlineStr">
        <is>
          <t>Paid</t>
        </is>
      </c>
      <c r="J138" s="9" t="inlineStr">
        <is>
          <t>EMP03</t>
        </is>
      </c>
      <c r="K138" s="10" t="inlineStr"/>
    </row>
    <row r="139">
      <c r="A139" s="14" t="inlineStr">
        <is>
          <t>P012</t>
        </is>
      </c>
      <c r="B139" s="15" t="inlineStr">
        <is>
          <t>Richard Davis</t>
        </is>
      </c>
      <c r="C139" s="14" t="inlineStr">
        <is>
          <t>Allowance</t>
        </is>
      </c>
      <c r="D139" s="14" t="inlineStr">
        <is>
          <t>Apr</t>
        </is>
      </c>
      <c r="E139" s="14" t="n">
        <v>4</v>
      </c>
      <c r="F139" s="16" t="n">
        <v>1374.76</v>
      </c>
      <c r="G139" s="16" t="n">
        <v>0</v>
      </c>
      <c r="H139" s="17">
        <f>G139-F139</f>
        <v/>
      </c>
      <c r="I139" s="21" t="inlineStr">
        <is>
          <t>Missed</t>
        </is>
      </c>
      <c r="J139" s="14" t="inlineStr">
        <is>
          <t>EMP05</t>
        </is>
      </c>
      <c r="K139" s="15" t="inlineStr"/>
    </row>
    <row r="140">
      <c r="A140" s="9" t="inlineStr">
        <is>
          <t>P012</t>
        </is>
      </c>
      <c r="B140" s="10" t="inlineStr">
        <is>
          <t>Richard Davis</t>
        </is>
      </c>
      <c r="C140" s="9" t="inlineStr">
        <is>
          <t>Allowance</t>
        </is>
      </c>
      <c r="D140" s="9" t="inlineStr">
        <is>
          <t>May</t>
        </is>
      </c>
      <c r="E140" s="9" t="n">
        <v>5</v>
      </c>
      <c r="F140" s="11" t="n">
        <v>1374.76</v>
      </c>
      <c r="G140" s="11" t="n">
        <v>918.6900000000001</v>
      </c>
      <c r="H140" s="17">
        <f>G140-F140</f>
        <v/>
      </c>
      <c r="I140" s="18" t="inlineStr">
        <is>
          <t>Under Review</t>
        </is>
      </c>
      <c r="J140" s="9" t="inlineStr">
        <is>
          <t>EMP05</t>
        </is>
      </c>
      <c r="K140" s="10" t="inlineStr">
        <is>
          <t>Awaiting confirmation</t>
        </is>
      </c>
    </row>
    <row r="141">
      <c r="A141" s="14" t="inlineStr">
        <is>
          <t>P012</t>
        </is>
      </c>
      <c r="B141" s="15" t="inlineStr">
        <is>
          <t>Richard Davis</t>
        </is>
      </c>
      <c r="C141" s="14" t="inlineStr">
        <is>
          <t>Allowance</t>
        </is>
      </c>
      <c r="D141" s="14" t="inlineStr">
        <is>
          <t>Jun</t>
        </is>
      </c>
      <c r="E141" s="14" t="n">
        <v>6</v>
      </c>
      <c r="F141" s="16" t="n">
        <v>1374.76</v>
      </c>
      <c r="G141" s="16" t="n">
        <v>1374.76</v>
      </c>
      <c r="H141" s="12">
        <f>G141-F141</f>
        <v/>
      </c>
      <c r="I141" s="13" t="inlineStr">
        <is>
          <t>Paid</t>
        </is>
      </c>
      <c r="J141" s="14" t="inlineStr">
        <is>
          <t>EMP05</t>
        </is>
      </c>
      <c r="K141" s="15" t="inlineStr"/>
    </row>
    <row r="142">
      <c r="A142" s="9" t="inlineStr">
        <is>
          <t>P012</t>
        </is>
      </c>
      <c r="B142" s="10" t="inlineStr">
        <is>
          <t>Richard Davis</t>
        </is>
      </c>
      <c r="C142" s="9" t="inlineStr">
        <is>
          <t>Allowance</t>
        </is>
      </c>
      <c r="D142" s="9" t="inlineStr">
        <is>
          <t>Jul</t>
        </is>
      </c>
      <c r="E142" s="9" t="n">
        <v>7</v>
      </c>
      <c r="F142" s="11" t="n">
        <v>1374.76</v>
      </c>
      <c r="G142" s="11" t="n">
        <v>1374.76</v>
      </c>
      <c r="H142" s="12">
        <f>G142-F142</f>
        <v/>
      </c>
      <c r="I142" s="13" t="inlineStr">
        <is>
          <t>Paid</t>
        </is>
      </c>
      <c r="J142" s="9" t="inlineStr">
        <is>
          <t>EMP05</t>
        </is>
      </c>
      <c r="K142" s="10" t="inlineStr"/>
    </row>
    <row r="143">
      <c r="A143" s="14" t="inlineStr">
        <is>
          <t>P012</t>
        </is>
      </c>
      <c r="B143" s="15" t="inlineStr">
        <is>
          <t>Richard Davis</t>
        </is>
      </c>
      <c r="C143" s="14" t="inlineStr">
        <is>
          <t>Allowance</t>
        </is>
      </c>
      <c r="D143" s="14" t="inlineStr">
        <is>
          <t>Aug</t>
        </is>
      </c>
      <c r="E143" s="14" t="n">
        <v>8</v>
      </c>
      <c r="F143" s="16" t="n">
        <v>1374.76</v>
      </c>
      <c r="G143" s="16" t="n">
        <v>697.67</v>
      </c>
      <c r="H143" s="17">
        <f>G143-F143</f>
        <v/>
      </c>
      <c r="I143" s="18" t="inlineStr">
        <is>
          <t>Under Review</t>
        </is>
      </c>
      <c r="J143" s="14" t="inlineStr">
        <is>
          <t>EMP04</t>
        </is>
      </c>
      <c r="K143" s="15" t="inlineStr">
        <is>
          <t>Awaiting confirmation</t>
        </is>
      </c>
    </row>
    <row r="144">
      <c r="A144" s="9" t="inlineStr">
        <is>
          <t>P012</t>
        </is>
      </c>
      <c r="B144" s="10" t="inlineStr">
        <is>
          <t>Richard Davis</t>
        </is>
      </c>
      <c r="C144" s="9" t="inlineStr">
        <is>
          <t>Allowance</t>
        </is>
      </c>
      <c r="D144" s="9" t="inlineStr">
        <is>
          <t>Sep</t>
        </is>
      </c>
      <c r="E144" s="9" t="n">
        <v>9</v>
      </c>
      <c r="F144" s="11" t="n">
        <v>1374.76</v>
      </c>
      <c r="G144" s="11" t="n">
        <v>1374.76</v>
      </c>
      <c r="H144" s="12">
        <f>G144-F144</f>
        <v/>
      </c>
      <c r="I144" s="13" t="inlineStr">
        <is>
          <t>Paid</t>
        </is>
      </c>
      <c r="J144" s="9" t="inlineStr">
        <is>
          <t>EMP05</t>
        </is>
      </c>
      <c r="K144" s="10" t="inlineStr"/>
    </row>
    <row r="145">
      <c r="A145" s="14" t="inlineStr">
        <is>
          <t>P012</t>
        </is>
      </c>
      <c r="B145" s="15" t="inlineStr">
        <is>
          <t>Richard Davis</t>
        </is>
      </c>
      <c r="C145" s="14" t="inlineStr">
        <is>
          <t>Allowance</t>
        </is>
      </c>
      <c r="D145" s="14" t="inlineStr">
        <is>
          <t>Oct</t>
        </is>
      </c>
      <c r="E145" s="14" t="n">
        <v>10</v>
      </c>
      <c r="F145" s="16" t="n">
        <v>1374.76</v>
      </c>
      <c r="G145" s="16" t="n">
        <v>1374.76</v>
      </c>
      <c r="H145" s="12">
        <f>G145-F145</f>
        <v/>
      </c>
      <c r="I145" s="13" t="inlineStr">
        <is>
          <t>Paid</t>
        </is>
      </c>
      <c r="J145" s="14" t="inlineStr">
        <is>
          <t>EMP02</t>
        </is>
      </c>
      <c r="K145" s="15" t="inlineStr"/>
    </row>
    <row r="146">
      <c r="A146" s="9" t="inlineStr">
        <is>
          <t>P012</t>
        </is>
      </c>
      <c r="B146" s="10" t="inlineStr">
        <is>
          <t>Richard Davis</t>
        </is>
      </c>
      <c r="C146" s="9" t="inlineStr">
        <is>
          <t>Allowance</t>
        </is>
      </c>
      <c r="D146" s="9" t="inlineStr">
        <is>
          <t>Nov</t>
        </is>
      </c>
      <c r="E146" s="9" t="n">
        <v>11</v>
      </c>
      <c r="F146" s="11" t="n">
        <v>1374.76</v>
      </c>
      <c r="G146" s="11" t="n">
        <v>1374.76</v>
      </c>
      <c r="H146" s="12">
        <f>G146-F146</f>
        <v/>
      </c>
      <c r="I146" s="13" t="inlineStr">
        <is>
          <t>Paid</t>
        </is>
      </c>
      <c r="J146" s="9" t="inlineStr">
        <is>
          <t>EMP02</t>
        </is>
      </c>
      <c r="K146" s="10" t="inlineStr"/>
    </row>
    <row r="147">
      <c r="A147" s="14" t="inlineStr">
        <is>
          <t>P012</t>
        </is>
      </c>
      <c r="B147" s="15" t="inlineStr">
        <is>
          <t>Richard Davis</t>
        </is>
      </c>
      <c r="C147" s="14" t="inlineStr">
        <is>
          <t>Allowance</t>
        </is>
      </c>
      <c r="D147" s="14" t="inlineStr">
        <is>
          <t>Dec</t>
        </is>
      </c>
      <c r="E147" s="14" t="n">
        <v>12</v>
      </c>
      <c r="F147" s="16" t="n">
        <v>1374.76</v>
      </c>
      <c r="G147" s="16" t="n">
        <v>0</v>
      </c>
      <c r="H147" s="17">
        <f>G147-F147</f>
        <v/>
      </c>
      <c r="I147" s="21" t="inlineStr">
        <is>
          <t>Missed</t>
        </is>
      </c>
      <c r="J147" s="14" t="inlineStr">
        <is>
          <t>EMP05</t>
        </is>
      </c>
      <c r="K147" s="15" t="inlineStr"/>
    </row>
    <row r="148">
      <c r="A148" s="9" t="inlineStr">
        <is>
          <t>P013</t>
        </is>
      </c>
      <c r="B148" s="10" t="inlineStr">
        <is>
          <t>Jennifer White</t>
        </is>
      </c>
      <c r="C148" s="9" t="inlineStr">
        <is>
          <t>Pension</t>
        </is>
      </c>
      <c r="D148" s="9" t="inlineStr">
        <is>
          <t>Jan</t>
        </is>
      </c>
      <c r="E148" s="9" t="n">
        <v>1</v>
      </c>
      <c r="F148" s="11" t="n">
        <v>2299.09</v>
      </c>
      <c r="G148" s="11" t="n">
        <v>1206.34</v>
      </c>
      <c r="H148" s="17">
        <f>G148-F148</f>
        <v/>
      </c>
      <c r="I148" s="18" t="inlineStr">
        <is>
          <t>Under Review</t>
        </is>
      </c>
      <c r="J148" s="9" t="inlineStr">
        <is>
          <t>EMP05</t>
        </is>
      </c>
      <c r="K148" s="10" t="inlineStr">
        <is>
          <t>Awaiting confirmation</t>
        </is>
      </c>
    </row>
    <row r="149">
      <c r="A149" s="14" t="inlineStr">
        <is>
          <t>P013</t>
        </is>
      </c>
      <c r="B149" s="15" t="inlineStr">
        <is>
          <t>Jennifer White</t>
        </is>
      </c>
      <c r="C149" s="14" t="inlineStr">
        <is>
          <t>Pension</t>
        </is>
      </c>
      <c r="D149" s="14" t="inlineStr">
        <is>
          <t>Feb</t>
        </is>
      </c>
      <c r="E149" s="14" t="n">
        <v>2</v>
      </c>
      <c r="F149" s="16" t="n">
        <v>2299.09</v>
      </c>
      <c r="G149" s="16" t="n">
        <v>1660.35</v>
      </c>
      <c r="H149" s="17">
        <f>G149-F149</f>
        <v/>
      </c>
      <c r="I149" s="18" t="inlineStr">
        <is>
          <t>Under Review</t>
        </is>
      </c>
      <c r="J149" s="14" t="inlineStr">
        <is>
          <t>EMP01</t>
        </is>
      </c>
      <c r="K149" s="15" t="inlineStr">
        <is>
          <t>Awaiting confirmation</t>
        </is>
      </c>
    </row>
    <row r="150">
      <c r="A150" s="9" t="inlineStr">
        <is>
          <t>P013</t>
        </is>
      </c>
      <c r="B150" s="10" t="inlineStr">
        <is>
          <t>Jennifer White</t>
        </is>
      </c>
      <c r="C150" s="9" t="inlineStr">
        <is>
          <t>Pension</t>
        </is>
      </c>
      <c r="D150" s="9" t="inlineStr">
        <is>
          <t>Mar</t>
        </is>
      </c>
      <c r="E150" s="9" t="n">
        <v>3</v>
      </c>
      <c r="F150" s="11" t="n">
        <v>2299.09</v>
      </c>
      <c r="G150" s="11" t="n">
        <v>1201.8</v>
      </c>
      <c r="H150" s="17">
        <f>G150-F150</f>
        <v/>
      </c>
      <c r="I150" s="18" t="inlineStr">
        <is>
          <t>Under Review</t>
        </is>
      </c>
      <c r="J150" s="9" t="inlineStr">
        <is>
          <t>EMP02</t>
        </is>
      </c>
      <c r="K150" s="10" t="inlineStr">
        <is>
          <t>Awaiting confirmation</t>
        </is>
      </c>
    </row>
    <row r="151">
      <c r="A151" s="14" t="inlineStr">
        <is>
          <t>P013</t>
        </is>
      </c>
      <c r="B151" s="15" t="inlineStr">
        <is>
          <t>Jennifer White</t>
        </is>
      </c>
      <c r="C151" s="14" t="inlineStr">
        <is>
          <t>Pension</t>
        </is>
      </c>
      <c r="D151" s="14" t="inlineStr">
        <is>
          <t>Apr</t>
        </is>
      </c>
      <c r="E151" s="14" t="n">
        <v>4</v>
      </c>
      <c r="F151" s="16" t="n">
        <v>2299.09</v>
      </c>
      <c r="G151" s="16" t="n">
        <v>2299.09</v>
      </c>
      <c r="H151" s="12">
        <f>G151-F151</f>
        <v/>
      </c>
      <c r="I151" s="13" t="inlineStr">
        <is>
          <t>Paid</t>
        </is>
      </c>
      <c r="J151" s="14" t="inlineStr">
        <is>
          <t>EMP01</t>
        </is>
      </c>
      <c r="K151" s="15" t="inlineStr"/>
    </row>
    <row r="152">
      <c r="A152" s="9" t="inlineStr">
        <is>
          <t>P013</t>
        </is>
      </c>
      <c r="B152" s="10" t="inlineStr">
        <is>
          <t>Jennifer White</t>
        </is>
      </c>
      <c r="C152" s="9" t="inlineStr">
        <is>
          <t>Pension</t>
        </is>
      </c>
      <c r="D152" s="9" t="inlineStr">
        <is>
          <t>May</t>
        </is>
      </c>
      <c r="E152" s="9" t="n">
        <v>5</v>
      </c>
      <c r="F152" s="11" t="n">
        <v>2299.09</v>
      </c>
      <c r="G152" s="11" t="n">
        <v>2299.09</v>
      </c>
      <c r="H152" s="12">
        <f>G152-F152</f>
        <v/>
      </c>
      <c r="I152" s="13" t="inlineStr">
        <is>
          <t>Paid</t>
        </is>
      </c>
      <c r="J152" s="9" t="inlineStr">
        <is>
          <t>EMP05</t>
        </is>
      </c>
      <c r="K152" s="10" t="inlineStr"/>
    </row>
    <row r="153">
      <c r="A153" s="14" t="inlineStr">
        <is>
          <t>P013</t>
        </is>
      </c>
      <c r="B153" s="15" t="inlineStr">
        <is>
          <t>Jennifer White</t>
        </is>
      </c>
      <c r="C153" s="14" t="inlineStr">
        <is>
          <t>Pension</t>
        </is>
      </c>
      <c r="D153" s="14" t="inlineStr">
        <is>
          <t>Jun</t>
        </is>
      </c>
      <c r="E153" s="14" t="n">
        <v>6</v>
      </c>
      <c r="F153" s="16" t="n">
        <v>2299.09</v>
      </c>
      <c r="G153" s="16" t="n">
        <v>0</v>
      </c>
      <c r="H153" s="17">
        <f>G153-F153</f>
        <v/>
      </c>
      <c r="I153" s="21" t="inlineStr">
        <is>
          <t>Missed</t>
        </is>
      </c>
      <c r="J153" s="14" t="inlineStr">
        <is>
          <t>EMP05</t>
        </is>
      </c>
      <c r="K153" s="15" t="inlineStr"/>
    </row>
    <row r="154">
      <c r="A154" s="9" t="inlineStr">
        <is>
          <t>P013</t>
        </is>
      </c>
      <c r="B154" s="10" t="inlineStr">
        <is>
          <t>Jennifer White</t>
        </is>
      </c>
      <c r="C154" s="9" t="inlineStr">
        <is>
          <t>Pension</t>
        </is>
      </c>
      <c r="D154" s="9" t="inlineStr">
        <is>
          <t>Jul</t>
        </is>
      </c>
      <c r="E154" s="9" t="n">
        <v>7</v>
      </c>
      <c r="F154" s="11" t="n">
        <v>2299.09</v>
      </c>
      <c r="G154" s="11" t="n">
        <v>2299.09</v>
      </c>
      <c r="H154" s="12">
        <f>G154-F154</f>
        <v/>
      </c>
      <c r="I154" s="13" t="inlineStr">
        <is>
          <t>Paid</t>
        </is>
      </c>
      <c r="J154" s="9" t="inlineStr">
        <is>
          <t>EMP01</t>
        </is>
      </c>
      <c r="K154" s="10" t="inlineStr"/>
    </row>
    <row r="155">
      <c r="A155" s="14" t="inlineStr">
        <is>
          <t>P013</t>
        </is>
      </c>
      <c r="B155" s="15" t="inlineStr">
        <is>
          <t>Jennifer White</t>
        </is>
      </c>
      <c r="C155" s="14" t="inlineStr">
        <is>
          <t>Pension</t>
        </is>
      </c>
      <c r="D155" s="14" t="inlineStr">
        <is>
          <t>Aug</t>
        </is>
      </c>
      <c r="E155" s="14" t="n">
        <v>8</v>
      </c>
      <c r="F155" s="16" t="n">
        <v>2299.09</v>
      </c>
      <c r="G155" s="16" t="n">
        <v>0</v>
      </c>
      <c r="H155" s="17">
        <f>G155-F155</f>
        <v/>
      </c>
      <c r="I155" s="21" t="inlineStr">
        <is>
          <t>Missed</t>
        </is>
      </c>
      <c r="J155" s="14" t="inlineStr">
        <is>
          <t>EMP03</t>
        </is>
      </c>
      <c r="K155" s="15" t="inlineStr"/>
    </row>
    <row r="156">
      <c r="A156" s="9" t="inlineStr">
        <is>
          <t>P013</t>
        </is>
      </c>
      <c r="B156" s="10" t="inlineStr">
        <is>
          <t>Jennifer White</t>
        </is>
      </c>
      <c r="C156" s="9" t="inlineStr">
        <is>
          <t>Pension</t>
        </is>
      </c>
      <c r="D156" s="9" t="inlineStr">
        <is>
          <t>Sep</t>
        </is>
      </c>
      <c r="E156" s="9" t="n">
        <v>9</v>
      </c>
      <c r="F156" s="11" t="n">
        <v>2299.09</v>
      </c>
      <c r="G156" s="11" t="n">
        <v>3088.46</v>
      </c>
      <c r="H156" s="20">
        <f>G156-F156</f>
        <v/>
      </c>
      <c r="I156" s="21" t="inlineStr">
        <is>
          <t>Discrepancy</t>
        </is>
      </c>
      <c r="J156" s="9" t="inlineStr">
        <is>
          <t>EMP05</t>
        </is>
      </c>
      <c r="K156" s="10" t="inlineStr">
        <is>
          <t>Awaiting confirmation</t>
        </is>
      </c>
    </row>
    <row r="157">
      <c r="A157" s="14" t="inlineStr">
        <is>
          <t>P013</t>
        </is>
      </c>
      <c r="B157" s="15" t="inlineStr">
        <is>
          <t>Jennifer White</t>
        </is>
      </c>
      <c r="C157" s="14" t="inlineStr">
        <is>
          <t>Pension</t>
        </is>
      </c>
      <c r="D157" s="14" t="inlineStr">
        <is>
          <t>Oct</t>
        </is>
      </c>
      <c r="E157" s="14" t="n">
        <v>10</v>
      </c>
      <c r="F157" s="16" t="n">
        <v>2299.09</v>
      </c>
      <c r="G157" s="16" t="n">
        <v>1332.92</v>
      </c>
      <c r="H157" s="17">
        <f>G157-F157</f>
        <v/>
      </c>
      <c r="I157" s="18" t="inlineStr">
        <is>
          <t>Under Review</t>
        </is>
      </c>
      <c r="J157" s="14" t="inlineStr">
        <is>
          <t>EMP03</t>
        </is>
      </c>
      <c r="K157" s="15" t="inlineStr">
        <is>
          <t>Awaiting confirmation</t>
        </is>
      </c>
    </row>
    <row r="158">
      <c r="A158" s="9" t="inlineStr">
        <is>
          <t>P013</t>
        </is>
      </c>
      <c r="B158" s="10" t="inlineStr">
        <is>
          <t>Jennifer White</t>
        </is>
      </c>
      <c r="C158" s="9" t="inlineStr">
        <is>
          <t>Pension</t>
        </is>
      </c>
      <c r="D158" s="9" t="inlineStr">
        <is>
          <t>Nov</t>
        </is>
      </c>
      <c r="E158" s="9" t="n">
        <v>11</v>
      </c>
      <c r="F158" s="11" t="n">
        <v>2299.09</v>
      </c>
      <c r="G158" s="11" t="n">
        <v>0</v>
      </c>
      <c r="H158" s="17">
        <f>G158-F158</f>
        <v/>
      </c>
      <c r="I158" s="21" t="inlineStr">
        <is>
          <t>Missed</t>
        </is>
      </c>
      <c r="J158" s="9" t="inlineStr">
        <is>
          <t>EMP05</t>
        </is>
      </c>
      <c r="K158" s="10" t="inlineStr"/>
    </row>
    <row r="159">
      <c r="A159" s="14" t="inlineStr">
        <is>
          <t>P013</t>
        </is>
      </c>
      <c r="B159" s="15" t="inlineStr">
        <is>
          <t>Jennifer White</t>
        </is>
      </c>
      <c r="C159" s="14" t="inlineStr">
        <is>
          <t>Pension</t>
        </is>
      </c>
      <c r="D159" s="14" t="inlineStr">
        <is>
          <t>Dec</t>
        </is>
      </c>
      <c r="E159" s="14" t="n">
        <v>12</v>
      </c>
      <c r="F159" s="16" t="n">
        <v>2299.09</v>
      </c>
      <c r="G159" s="16" t="n">
        <v>1892.02</v>
      </c>
      <c r="H159" s="17">
        <f>G159-F159</f>
        <v/>
      </c>
      <c r="I159" s="18" t="inlineStr">
        <is>
          <t>Under Review</t>
        </is>
      </c>
      <c r="J159" s="14" t="inlineStr">
        <is>
          <t>EMP05</t>
        </is>
      </c>
      <c r="K159" s="15" t="inlineStr">
        <is>
          <t>Awaiting confirmation</t>
        </is>
      </c>
    </row>
    <row r="160">
      <c r="A160" s="9" t="inlineStr">
        <is>
          <t>P014</t>
        </is>
      </c>
      <c r="B160" s="10" t="inlineStr">
        <is>
          <t>Charles Harris</t>
        </is>
      </c>
      <c r="C160" s="9" t="inlineStr">
        <is>
          <t>Pension</t>
        </is>
      </c>
      <c r="D160" s="9" t="inlineStr">
        <is>
          <t>Jan</t>
        </is>
      </c>
      <c r="E160" s="9" t="n">
        <v>1</v>
      </c>
      <c r="F160" s="11" t="n">
        <v>2394.26</v>
      </c>
      <c r="G160" s="11" t="n">
        <v>2036.59</v>
      </c>
      <c r="H160" s="17">
        <f>G160-F160</f>
        <v/>
      </c>
      <c r="I160" s="18" t="inlineStr">
        <is>
          <t>Under Review</t>
        </is>
      </c>
      <c r="J160" s="9" t="inlineStr">
        <is>
          <t>EMP03</t>
        </is>
      </c>
      <c r="K160" s="10" t="inlineStr">
        <is>
          <t>Awaiting confirmation</t>
        </is>
      </c>
    </row>
    <row r="161">
      <c r="A161" s="14" t="inlineStr">
        <is>
          <t>P014</t>
        </is>
      </c>
      <c r="B161" s="15" t="inlineStr">
        <is>
          <t>Charles Harris</t>
        </is>
      </c>
      <c r="C161" s="14" t="inlineStr">
        <is>
          <t>Pension</t>
        </is>
      </c>
      <c r="D161" s="14" t="inlineStr">
        <is>
          <t>Feb</t>
        </is>
      </c>
      <c r="E161" s="14" t="n">
        <v>2</v>
      </c>
      <c r="F161" s="16" t="n">
        <v>2394.26</v>
      </c>
      <c r="G161" s="16" t="n">
        <v>2052.12</v>
      </c>
      <c r="H161" s="17">
        <f>G161-F161</f>
        <v/>
      </c>
      <c r="I161" s="18" t="inlineStr">
        <is>
          <t>Under Review</t>
        </is>
      </c>
      <c r="J161" s="14" t="inlineStr">
        <is>
          <t>EMP02</t>
        </is>
      </c>
      <c r="K161" s="15" t="inlineStr">
        <is>
          <t>Awaiting confirmation</t>
        </is>
      </c>
    </row>
    <row r="162">
      <c r="A162" s="9" t="inlineStr">
        <is>
          <t>P014</t>
        </is>
      </c>
      <c r="B162" s="10" t="inlineStr">
        <is>
          <t>Charles Harris</t>
        </is>
      </c>
      <c r="C162" s="9" t="inlineStr">
        <is>
          <t>Pension</t>
        </is>
      </c>
      <c r="D162" s="9" t="inlineStr">
        <is>
          <t>Mar</t>
        </is>
      </c>
      <c r="E162" s="9" t="n">
        <v>3</v>
      </c>
      <c r="F162" s="11" t="n">
        <v>2394.26</v>
      </c>
      <c r="G162" s="11" t="n">
        <v>0</v>
      </c>
      <c r="H162" s="17">
        <f>G162-F162</f>
        <v/>
      </c>
      <c r="I162" s="21" t="inlineStr">
        <is>
          <t>Missed</t>
        </is>
      </c>
      <c r="J162" s="9" t="inlineStr">
        <is>
          <t>EMP02</t>
        </is>
      </c>
      <c r="K162" s="10" t="inlineStr"/>
    </row>
    <row r="163">
      <c r="A163" s="14" t="inlineStr">
        <is>
          <t>P014</t>
        </is>
      </c>
      <c r="B163" s="15" t="inlineStr">
        <is>
          <t>Charles Harris</t>
        </is>
      </c>
      <c r="C163" s="14" t="inlineStr">
        <is>
          <t>Pension</t>
        </is>
      </c>
      <c r="D163" s="14" t="inlineStr">
        <is>
          <t>Apr</t>
        </is>
      </c>
      <c r="E163" s="14" t="n">
        <v>4</v>
      </c>
      <c r="F163" s="16" t="n">
        <v>2394.26</v>
      </c>
      <c r="G163" s="16" t="n">
        <v>2394.26</v>
      </c>
      <c r="H163" s="12">
        <f>G163-F163</f>
        <v/>
      </c>
      <c r="I163" s="19" t="inlineStr">
        <is>
          <t>Late</t>
        </is>
      </c>
      <c r="J163" s="14" t="inlineStr">
        <is>
          <t>EMP01</t>
        </is>
      </c>
      <c r="K163" s="15" t="inlineStr"/>
    </row>
    <row r="164">
      <c r="A164" s="9" t="inlineStr">
        <is>
          <t>P014</t>
        </is>
      </c>
      <c r="B164" s="10" t="inlineStr">
        <is>
          <t>Charles Harris</t>
        </is>
      </c>
      <c r="C164" s="9" t="inlineStr">
        <is>
          <t>Pension</t>
        </is>
      </c>
      <c r="D164" s="9" t="inlineStr">
        <is>
          <t>May</t>
        </is>
      </c>
      <c r="E164" s="9" t="n">
        <v>5</v>
      </c>
      <c r="F164" s="11" t="n">
        <v>2394.26</v>
      </c>
      <c r="G164" s="11" t="n">
        <v>2394.26</v>
      </c>
      <c r="H164" s="12">
        <f>G164-F164</f>
        <v/>
      </c>
      <c r="I164" s="19" t="inlineStr">
        <is>
          <t>Late</t>
        </is>
      </c>
      <c r="J164" s="9" t="inlineStr">
        <is>
          <t>EMP04</t>
        </is>
      </c>
      <c r="K164" s="10" t="inlineStr"/>
    </row>
    <row r="165">
      <c r="A165" s="14" t="inlineStr">
        <is>
          <t>P014</t>
        </is>
      </c>
      <c r="B165" s="15" t="inlineStr">
        <is>
          <t>Charles Harris</t>
        </is>
      </c>
      <c r="C165" s="14" t="inlineStr">
        <is>
          <t>Pension</t>
        </is>
      </c>
      <c r="D165" s="14" t="inlineStr">
        <is>
          <t>Jun</t>
        </is>
      </c>
      <c r="E165" s="14" t="n">
        <v>6</v>
      </c>
      <c r="F165" s="16" t="n">
        <v>2394.26</v>
      </c>
      <c r="G165" s="16" t="n">
        <v>2394.26</v>
      </c>
      <c r="H165" s="12">
        <f>G165-F165</f>
        <v/>
      </c>
      <c r="I165" s="13" t="inlineStr">
        <is>
          <t>Paid</t>
        </is>
      </c>
      <c r="J165" s="14" t="inlineStr">
        <is>
          <t>EMP01</t>
        </is>
      </c>
      <c r="K165" s="15" t="inlineStr"/>
    </row>
    <row r="166">
      <c r="A166" s="9" t="inlineStr">
        <is>
          <t>P014</t>
        </is>
      </c>
      <c r="B166" s="10" t="inlineStr">
        <is>
          <t>Charles Harris</t>
        </is>
      </c>
      <c r="C166" s="9" t="inlineStr">
        <is>
          <t>Pension</t>
        </is>
      </c>
      <c r="D166" s="9" t="inlineStr">
        <is>
          <t>Jul</t>
        </is>
      </c>
      <c r="E166" s="9" t="n">
        <v>7</v>
      </c>
      <c r="F166" s="11" t="n">
        <v>2394.26</v>
      </c>
      <c r="G166" s="11" t="n">
        <v>2394.26</v>
      </c>
      <c r="H166" s="12">
        <f>G166-F166</f>
        <v/>
      </c>
      <c r="I166" s="13" t="inlineStr">
        <is>
          <t>Paid</t>
        </is>
      </c>
      <c r="J166" s="9" t="inlineStr">
        <is>
          <t>EMP04</t>
        </is>
      </c>
      <c r="K166" s="10" t="inlineStr"/>
    </row>
    <row r="167">
      <c r="A167" s="14" t="inlineStr">
        <is>
          <t>P014</t>
        </is>
      </c>
      <c r="B167" s="15" t="inlineStr">
        <is>
          <t>Charles Harris</t>
        </is>
      </c>
      <c r="C167" s="14" t="inlineStr">
        <is>
          <t>Pension</t>
        </is>
      </c>
      <c r="D167" s="14" t="inlineStr">
        <is>
          <t>Aug</t>
        </is>
      </c>
      <c r="E167" s="14" t="n">
        <v>8</v>
      </c>
      <c r="F167" s="16" t="n">
        <v>2394.26</v>
      </c>
      <c r="G167" s="16" t="n">
        <v>2394.26</v>
      </c>
      <c r="H167" s="12">
        <f>G167-F167</f>
        <v/>
      </c>
      <c r="I167" s="13" t="inlineStr">
        <is>
          <t>Paid</t>
        </is>
      </c>
      <c r="J167" s="14" t="inlineStr">
        <is>
          <t>EMP02</t>
        </is>
      </c>
      <c r="K167" s="15" t="inlineStr"/>
    </row>
    <row r="168">
      <c r="A168" s="9" t="inlineStr">
        <is>
          <t>P014</t>
        </is>
      </c>
      <c r="B168" s="10" t="inlineStr">
        <is>
          <t>Charles Harris</t>
        </is>
      </c>
      <c r="C168" s="9" t="inlineStr">
        <is>
          <t>Pension</t>
        </is>
      </c>
      <c r="D168" s="9" t="inlineStr">
        <is>
          <t>Sep</t>
        </is>
      </c>
      <c r="E168" s="9" t="n">
        <v>9</v>
      </c>
      <c r="F168" s="11" t="n">
        <v>2394.26</v>
      </c>
      <c r="G168" s="11" t="n">
        <v>2394.26</v>
      </c>
      <c r="H168" s="12">
        <f>G168-F168</f>
        <v/>
      </c>
      <c r="I168" s="13" t="inlineStr">
        <is>
          <t>Paid</t>
        </is>
      </c>
      <c r="J168" s="9" t="inlineStr">
        <is>
          <t>EMP01</t>
        </is>
      </c>
      <c r="K168" s="10" t="inlineStr"/>
    </row>
    <row r="169">
      <c r="A169" s="14" t="inlineStr">
        <is>
          <t>P014</t>
        </is>
      </c>
      <c r="B169" s="15" t="inlineStr">
        <is>
          <t>Charles Harris</t>
        </is>
      </c>
      <c r="C169" s="14" t="inlineStr">
        <is>
          <t>Pension</t>
        </is>
      </c>
      <c r="D169" s="14" t="inlineStr">
        <is>
          <t>Oct</t>
        </is>
      </c>
      <c r="E169" s="14" t="n">
        <v>10</v>
      </c>
      <c r="F169" s="16" t="n">
        <v>2394.26</v>
      </c>
      <c r="G169" s="16" t="n">
        <v>2394.26</v>
      </c>
      <c r="H169" s="12">
        <f>G169-F169</f>
        <v/>
      </c>
      <c r="I169" s="13" t="inlineStr">
        <is>
          <t>Paid</t>
        </is>
      </c>
      <c r="J169" s="14" t="inlineStr">
        <is>
          <t>EMP03</t>
        </is>
      </c>
      <c r="K169" s="15" t="inlineStr"/>
    </row>
    <row r="170">
      <c r="A170" s="9" t="inlineStr">
        <is>
          <t>P014</t>
        </is>
      </c>
      <c r="B170" s="10" t="inlineStr">
        <is>
          <t>Charles Harris</t>
        </is>
      </c>
      <c r="C170" s="9" t="inlineStr">
        <is>
          <t>Pension</t>
        </is>
      </c>
      <c r="D170" s="9" t="inlineStr">
        <is>
          <t>Nov</t>
        </is>
      </c>
      <c r="E170" s="9" t="n">
        <v>11</v>
      </c>
      <c r="F170" s="11" t="n">
        <v>2394.26</v>
      </c>
      <c r="G170" s="11" t="n">
        <v>2394.26</v>
      </c>
      <c r="H170" s="12">
        <f>G170-F170</f>
        <v/>
      </c>
      <c r="I170" s="13" t="inlineStr">
        <is>
          <t>Paid</t>
        </is>
      </c>
      <c r="J170" s="9" t="inlineStr">
        <is>
          <t>EMP03</t>
        </is>
      </c>
      <c r="K170" s="10" t="inlineStr"/>
    </row>
    <row r="171">
      <c r="A171" s="14" t="inlineStr">
        <is>
          <t>P014</t>
        </is>
      </c>
      <c r="B171" s="15" t="inlineStr">
        <is>
          <t>Charles Harris</t>
        </is>
      </c>
      <c r="C171" s="14" t="inlineStr">
        <is>
          <t>Pension</t>
        </is>
      </c>
      <c r="D171" s="14" t="inlineStr">
        <is>
          <t>Dec</t>
        </is>
      </c>
      <c r="E171" s="14" t="n">
        <v>12</v>
      </c>
      <c r="F171" s="16" t="n">
        <v>2394.26</v>
      </c>
      <c r="G171" s="16" t="n">
        <v>2394.26</v>
      </c>
      <c r="H171" s="12">
        <f>G171-F171</f>
        <v/>
      </c>
      <c r="I171" s="13" t="inlineStr">
        <is>
          <t>Paid</t>
        </is>
      </c>
      <c r="J171" s="14" t="inlineStr">
        <is>
          <t>EMP04</t>
        </is>
      </c>
      <c r="K171" s="15" t="inlineStr"/>
    </row>
    <row r="172">
      <c r="A172" s="9" t="inlineStr">
        <is>
          <t>P015</t>
        </is>
      </c>
      <c r="B172" s="10" t="inlineStr">
        <is>
          <t>Maria Thompson</t>
        </is>
      </c>
      <c r="C172" s="9" t="inlineStr">
        <is>
          <t>Allowance</t>
        </is>
      </c>
      <c r="D172" s="9" t="inlineStr">
        <is>
          <t>Jan</t>
        </is>
      </c>
      <c r="E172" s="9" t="n">
        <v>1</v>
      </c>
      <c r="F172" s="11" t="n">
        <v>1368.68</v>
      </c>
      <c r="G172" s="11" t="n">
        <v>1368.68</v>
      </c>
      <c r="H172" s="12">
        <f>G172-F172</f>
        <v/>
      </c>
      <c r="I172" s="13" t="inlineStr">
        <is>
          <t>Paid</t>
        </is>
      </c>
      <c r="J172" s="9" t="inlineStr">
        <is>
          <t>EMP04</t>
        </is>
      </c>
      <c r="K172" s="10" t="inlineStr"/>
    </row>
    <row r="173">
      <c r="A173" s="14" t="inlineStr">
        <is>
          <t>P015</t>
        </is>
      </c>
      <c r="B173" s="15" t="inlineStr">
        <is>
          <t>Maria Thompson</t>
        </is>
      </c>
      <c r="C173" s="14" t="inlineStr">
        <is>
          <t>Allowance</t>
        </is>
      </c>
      <c r="D173" s="14" t="inlineStr">
        <is>
          <t>Feb</t>
        </is>
      </c>
      <c r="E173" s="14" t="n">
        <v>2</v>
      </c>
      <c r="F173" s="16" t="n">
        <v>1368.68</v>
      </c>
      <c r="G173" s="16" t="n">
        <v>0</v>
      </c>
      <c r="H173" s="17">
        <f>G173-F173</f>
        <v/>
      </c>
      <c r="I173" s="21" t="inlineStr">
        <is>
          <t>Missed</t>
        </is>
      </c>
      <c r="J173" s="14" t="inlineStr">
        <is>
          <t>EMP02</t>
        </is>
      </c>
      <c r="K173" s="15" t="inlineStr"/>
    </row>
    <row r="174">
      <c r="A174" s="9" t="inlineStr">
        <is>
          <t>P015</t>
        </is>
      </c>
      <c r="B174" s="10" t="inlineStr">
        <is>
          <t>Maria Thompson</t>
        </is>
      </c>
      <c r="C174" s="9" t="inlineStr">
        <is>
          <t>Allowance</t>
        </is>
      </c>
      <c r="D174" s="9" t="inlineStr">
        <is>
          <t>Mar</t>
        </is>
      </c>
      <c r="E174" s="9" t="n">
        <v>3</v>
      </c>
      <c r="F174" s="11" t="n">
        <v>1368.68</v>
      </c>
      <c r="G174" s="11" t="n">
        <v>1368.68</v>
      </c>
      <c r="H174" s="12">
        <f>G174-F174</f>
        <v/>
      </c>
      <c r="I174" s="13" t="inlineStr">
        <is>
          <t>Paid</t>
        </is>
      </c>
      <c r="J174" s="9" t="inlineStr">
        <is>
          <t>EMP02</t>
        </is>
      </c>
      <c r="K174" s="10" t="inlineStr"/>
    </row>
    <row r="175">
      <c r="A175" s="14" t="inlineStr">
        <is>
          <t>P015</t>
        </is>
      </c>
      <c r="B175" s="15" t="inlineStr">
        <is>
          <t>Maria Thompson</t>
        </is>
      </c>
      <c r="C175" s="14" t="inlineStr">
        <is>
          <t>Allowance</t>
        </is>
      </c>
      <c r="D175" s="14" t="inlineStr">
        <is>
          <t>Apr</t>
        </is>
      </c>
      <c r="E175" s="14" t="n">
        <v>4</v>
      </c>
      <c r="F175" s="16" t="n">
        <v>1368.68</v>
      </c>
      <c r="G175" s="16" t="n">
        <v>1368.68</v>
      </c>
      <c r="H175" s="12">
        <f>G175-F175</f>
        <v/>
      </c>
      <c r="I175" s="19" t="inlineStr">
        <is>
          <t>Late</t>
        </is>
      </c>
      <c r="J175" s="14" t="inlineStr">
        <is>
          <t>EMP05</t>
        </is>
      </c>
      <c r="K175" s="15" t="inlineStr"/>
    </row>
    <row r="176">
      <c r="A176" s="9" t="inlineStr">
        <is>
          <t>P015</t>
        </is>
      </c>
      <c r="B176" s="10" t="inlineStr">
        <is>
          <t>Maria Thompson</t>
        </is>
      </c>
      <c r="C176" s="9" t="inlineStr">
        <is>
          <t>Allowance</t>
        </is>
      </c>
      <c r="D176" s="9" t="inlineStr">
        <is>
          <t>May</t>
        </is>
      </c>
      <c r="E176" s="9" t="n">
        <v>5</v>
      </c>
      <c r="F176" s="11" t="n">
        <v>1368.68</v>
      </c>
      <c r="G176" s="11" t="n">
        <v>1368.68</v>
      </c>
      <c r="H176" s="12">
        <f>G176-F176</f>
        <v/>
      </c>
      <c r="I176" s="19" t="inlineStr">
        <is>
          <t>Late</t>
        </is>
      </c>
      <c r="J176" s="9" t="inlineStr">
        <is>
          <t>EMP03</t>
        </is>
      </c>
      <c r="K176" s="10" t="inlineStr"/>
    </row>
    <row r="177">
      <c r="A177" s="14" t="inlineStr">
        <is>
          <t>P015</t>
        </is>
      </c>
      <c r="B177" s="15" t="inlineStr">
        <is>
          <t>Maria Thompson</t>
        </is>
      </c>
      <c r="C177" s="14" t="inlineStr">
        <is>
          <t>Allowance</t>
        </is>
      </c>
      <c r="D177" s="14" t="inlineStr">
        <is>
          <t>Jun</t>
        </is>
      </c>
      <c r="E177" s="14" t="n">
        <v>6</v>
      </c>
      <c r="F177" s="16" t="n">
        <v>1368.68</v>
      </c>
      <c r="G177" s="16" t="n">
        <v>1368.68</v>
      </c>
      <c r="H177" s="12">
        <f>G177-F177</f>
        <v/>
      </c>
      <c r="I177" s="19" t="inlineStr">
        <is>
          <t>Late</t>
        </is>
      </c>
      <c r="J177" s="14" t="inlineStr">
        <is>
          <t>EMP02</t>
        </is>
      </c>
      <c r="K177" s="15" t="inlineStr"/>
    </row>
    <row r="178">
      <c r="A178" s="9" t="inlineStr">
        <is>
          <t>P015</t>
        </is>
      </c>
      <c r="B178" s="10" t="inlineStr">
        <is>
          <t>Maria Thompson</t>
        </is>
      </c>
      <c r="C178" s="9" t="inlineStr">
        <is>
          <t>Allowance</t>
        </is>
      </c>
      <c r="D178" s="9" t="inlineStr">
        <is>
          <t>Jul</t>
        </is>
      </c>
      <c r="E178" s="9" t="n">
        <v>7</v>
      </c>
      <c r="F178" s="11" t="n">
        <v>1368.68</v>
      </c>
      <c r="G178" s="11" t="n">
        <v>1368.68</v>
      </c>
      <c r="H178" s="12">
        <f>G178-F178</f>
        <v/>
      </c>
      <c r="I178" s="13" t="inlineStr">
        <is>
          <t>Paid</t>
        </is>
      </c>
      <c r="J178" s="9" t="inlineStr">
        <is>
          <t>EMP03</t>
        </is>
      </c>
      <c r="K178" s="10" t="inlineStr"/>
    </row>
    <row r="179">
      <c r="A179" s="14" t="inlineStr">
        <is>
          <t>P015</t>
        </is>
      </c>
      <c r="B179" s="15" t="inlineStr">
        <is>
          <t>Maria Thompson</t>
        </is>
      </c>
      <c r="C179" s="14" t="inlineStr">
        <is>
          <t>Allowance</t>
        </is>
      </c>
      <c r="D179" s="14" t="inlineStr">
        <is>
          <t>Aug</t>
        </is>
      </c>
      <c r="E179" s="14" t="n">
        <v>8</v>
      </c>
      <c r="F179" s="16" t="n">
        <v>1368.68</v>
      </c>
      <c r="G179" s="16" t="n">
        <v>1368.68</v>
      </c>
      <c r="H179" s="12">
        <f>G179-F179</f>
        <v/>
      </c>
      <c r="I179" s="13" t="inlineStr">
        <is>
          <t>Paid</t>
        </is>
      </c>
      <c r="J179" s="14" t="inlineStr">
        <is>
          <t>EMP03</t>
        </is>
      </c>
      <c r="K179" s="15" t="inlineStr"/>
    </row>
    <row r="180">
      <c r="A180" s="9" t="inlineStr">
        <is>
          <t>P015</t>
        </is>
      </c>
      <c r="B180" s="10" t="inlineStr">
        <is>
          <t>Maria Thompson</t>
        </is>
      </c>
      <c r="C180" s="9" t="inlineStr">
        <is>
          <t>Allowance</t>
        </is>
      </c>
      <c r="D180" s="9" t="inlineStr">
        <is>
          <t>Sep</t>
        </is>
      </c>
      <c r="E180" s="9" t="n">
        <v>9</v>
      </c>
      <c r="F180" s="11" t="n">
        <v>1368.68</v>
      </c>
      <c r="G180" s="11" t="n">
        <v>1368.68</v>
      </c>
      <c r="H180" s="12">
        <f>G180-F180</f>
        <v/>
      </c>
      <c r="I180" s="13" t="inlineStr">
        <is>
          <t>Paid</t>
        </is>
      </c>
      <c r="J180" s="9" t="inlineStr">
        <is>
          <t>EMP03</t>
        </is>
      </c>
      <c r="K180" s="10" t="inlineStr"/>
    </row>
    <row r="181">
      <c r="A181" s="14" t="inlineStr">
        <is>
          <t>P015</t>
        </is>
      </c>
      <c r="B181" s="15" t="inlineStr">
        <is>
          <t>Maria Thompson</t>
        </is>
      </c>
      <c r="C181" s="14" t="inlineStr">
        <is>
          <t>Allowance</t>
        </is>
      </c>
      <c r="D181" s="14" t="inlineStr">
        <is>
          <t>Oct</t>
        </is>
      </c>
      <c r="E181" s="14" t="n">
        <v>10</v>
      </c>
      <c r="F181" s="16" t="n">
        <v>1368.68</v>
      </c>
      <c r="G181" s="16" t="n">
        <v>935.45</v>
      </c>
      <c r="H181" s="17">
        <f>G181-F181</f>
        <v/>
      </c>
      <c r="I181" s="18" t="inlineStr">
        <is>
          <t>Under Review</t>
        </is>
      </c>
      <c r="J181" s="14" t="inlineStr">
        <is>
          <t>EMP01</t>
        </is>
      </c>
      <c r="K181" s="15" t="inlineStr">
        <is>
          <t>Awaiting confirmation</t>
        </is>
      </c>
    </row>
    <row r="182">
      <c r="A182" s="9" t="inlineStr">
        <is>
          <t>P015</t>
        </is>
      </c>
      <c r="B182" s="10" t="inlineStr">
        <is>
          <t>Maria Thompson</t>
        </is>
      </c>
      <c r="C182" s="9" t="inlineStr">
        <is>
          <t>Allowance</t>
        </is>
      </c>
      <c r="D182" s="9" t="inlineStr">
        <is>
          <t>Nov</t>
        </is>
      </c>
      <c r="E182" s="9" t="n">
        <v>11</v>
      </c>
      <c r="F182" s="11" t="n">
        <v>1368.68</v>
      </c>
      <c r="G182" s="11" t="n">
        <v>1368.68</v>
      </c>
      <c r="H182" s="12">
        <f>G182-F182</f>
        <v/>
      </c>
      <c r="I182" s="19" t="inlineStr">
        <is>
          <t>Late</t>
        </is>
      </c>
      <c r="J182" s="9" t="inlineStr">
        <is>
          <t>EMP03</t>
        </is>
      </c>
      <c r="K182" s="10" t="inlineStr"/>
    </row>
    <row r="183">
      <c r="A183" s="14" t="inlineStr">
        <is>
          <t>P015</t>
        </is>
      </c>
      <c r="B183" s="15" t="inlineStr">
        <is>
          <t>Maria Thompson</t>
        </is>
      </c>
      <c r="C183" s="14" t="inlineStr">
        <is>
          <t>Allowance</t>
        </is>
      </c>
      <c r="D183" s="14" t="inlineStr">
        <is>
          <t>Dec</t>
        </is>
      </c>
      <c r="E183" s="14" t="n">
        <v>12</v>
      </c>
      <c r="F183" s="16" t="n">
        <v>1368.68</v>
      </c>
      <c r="G183" s="16" t="n">
        <v>1025.92</v>
      </c>
      <c r="H183" s="17">
        <f>G183-F183</f>
        <v/>
      </c>
      <c r="I183" s="18" t="inlineStr">
        <is>
          <t>Under Review</t>
        </is>
      </c>
      <c r="J183" s="14" t="inlineStr">
        <is>
          <t>EMP05</t>
        </is>
      </c>
      <c r="K183" s="15" t="inlineStr">
        <is>
          <t>Awaiting confirmation</t>
        </is>
      </c>
    </row>
  </sheetData>
  <mergeCells count="2">
    <mergeCell ref="A2:K2"/>
    <mergeCell ref="A1:K1"/>
  </mergeCells>
  <dataValidations count="1">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showDropDown="0" showInputMessage="0" showErrorMessage="0" allowBlank="0" type="list">
      <formula1>"Paid,Late,Missed,Under Review,Discrepancy"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45" customWidth="1" min="1" max="1"/>
    <col width="22" customWidth="1" min="2" max="2"/>
    <col width="12" customWidth="1" min="3" max="3"/>
    <col width="45" customWidth="1" min="4" max="4"/>
    <col width="45" customWidth="1" min="5" max="5"/>
    <col width="22" customWidth="1" min="6" max="6"/>
    <col width="45" customWidth="1" min="7" max="7"/>
    <col width="23" customWidth="1" min="8" max="8"/>
    <col width="45" customWidth="1" min="9" max="9"/>
  </cols>
  <sheetData>
    <row r="1" ht="28" customHeight="1">
      <c r="A1" s="6" t="inlineStr">
        <is>
          <t>Claimant Summary — Annual Payment Review</t>
        </is>
      </c>
    </row>
    <row r="2">
      <c r="A2" s="7" t="inlineStr">
        <is>
          <t>Formulas pull from Payment Log. Risk Level: HIGH = 3+ flags | MEDIUM = 1-2 flags | LOW = 0 flags</t>
        </is>
      </c>
    </row>
    <row r="3">
      <c r="A3" s="8" t="inlineStr">
        <is>
          <t>Claimant ID</t>
        </is>
      </c>
      <c r="B3" s="8" t="inlineStr">
        <is>
          <t>Claimant Name</t>
        </is>
      </c>
      <c r="C3" s="8" t="inlineStr">
        <is>
          <t>Type</t>
        </is>
      </c>
      <c r="D3" s="8" t="inlineStr">
        <is>
          <t>Total Expected ($)</t>
        </is>
      </c>
      <c r="E3" s="8" t="inlineStr">
        <is>
          <t>Total Actual ($)</t>
        </is>
      </c>
      <c r="F3" s="8" t="inlineStr">
        <is>
          <t>Net Discrepancy ($)</t>
        </is>
      </c>
      <c r="G3" s="8" t="inlineStr">
        <is>
          <t>Flag Count</t>
        </is>
      </c>
      <c r="H3" s="8" t="inlineStr">
        <is>
          <t>Compliance Rate (%)</t>
        </is>
      </c>
      <c r="I3" s="8" t="inlineStr">
        <is>
          <t>Risk Level</t>
        </is>
      </c>
    </row>
    <row r="4">
      <c r="A4" s="10" t="inlineStr">
        <is>
          <t>P001</t>
        </is>
      </c>
      <c r="B4" s="10" t="inlineStr">
        <is>
          <t>Margaret Allen</t>
        </is>
      </c>
      <c r="C4" s="10" t="inlineStr">
        <is>
          <t>Pension</t>
        </is>
      </c>
      <c r="D4" s="11">
        <f>SUMIF('Payment Log'!A:A,A4,'Payment Log'!F:F)</f>
        <v/>
      </c>
      <c r="E4" s="11">
        <f>SUMIF('Payment Log'!A:A,A4,'Payment Log'!G:G)</f>
        <v/>
      </c>
      <c r="F4" s="11">
        <f>E4-D4</f>
        <v/>
      </c>
      <c r="G4" s="9">
        <f>COUNTIFS('Payment Log'!A:A,A4,'Payment Log'!I:I,"&lt;&gt;Paid")</f>
        <v/>
      </c>
      <c r="H4" s="22">
        <f>IFERROR(1-G4/12,0)</f>
        <v/>
      </c>
      <c r="I4" s="9">
        <f>IF(G4&gt;=3,"HIGH",IF(G4&gt;=1,"MEDIUM","LOW"))</f>
        <v/>
      </c>
    </row>
    <row r="5">
      <c r="A5" s="15" t="inlineStr">
        <is>
          <t>P002</t>
        </is>
      </c>
      <c r="B5" s="15" t="inlineStr">
        <is>
          <t>Robert Nguyen</t>
        </is>
      </c>
      <c r="C5" s="15" t="inlineStr">
        <is>
          <t>Pension</t>
        </is>
      </c>
      <c r="D5" s="16">
        <f>SUMIF('Payment Log'!A:A,A5,'Payment Log'!F:F)</f>
        <v/>
      </c>
      <c r="E5" s="16">
        <f>SUMIF('Payment Log'!A:A,A5,'Payment Log'!G:G)</f>
        <v/>
      </c>
      <c r="F5" s="16">
        <f>E5-D5</f>
        <v/>
      </c>
      <c r="G5" s="14">
        <f>COUNTIFS('Payment Log'!A:A,A5,'Payment Log'!I:I,"&lt;&gt;Paid")</f>
        <v/>
      </c>
      <c r="H5" s="23">
        <f>IFERROR(1-G5/12,0)</f>
        <v/>
      </c>
      <c r="I5" s="14">
        <f>IF(G5&gt;=3,"HIGH",IF(G5&gt;=1,"MEDIUM","LOW"))</f>
        <v/>
      </c>
    </row>
    <row r="6">
      <c r="A6" s="10" t="inlineStr">
        <is>
          <t>P003</t>
        </is>
      </c>
      <c r="B6" s="10" t="inlineStr">
        <is>
          <t>Susan Park</t>
        </is>
      </c>
      <c r="C6" s="10" t="inlineStr">
        <is>
          <t>Allowance</t>
        </is>
      </c>
      <c r="D6" s="11">
        <f>SUMIF('Payment Log'!A:A,A6,'Payment Log'!F:F)</f>
        <v/>
      </c>
      <c r="E6" s="11">
        <f>SUMIF('Payment Log'!A:A,A6,'Payment Log'!G:G)</f>
        <v/>
      </c>
      <c r="F6" s="11">
        <f>E6-D6</f>
        <v/>
      </c>
      <c r="G6" s="9">
        <f>COUNTIFS('Payment Log'!A:A,A6,'Payment Log'!I:I,"&lt;&gt;Paid")</f>
        <v/>
      </c>
      <c r="H6" s="22">
        <f>IFERROR(1-G6/12,0)</f>
        <v/>
      </c>
      <c r="I6" s="9">
        <f>IF(G6&gt;=3,"HIGH",IF(G6&gt;=1,"MEDIUM","LOW"))</f>
        <v/>
      </c>
    </row>
    <row r="7">
      <c r="A7" s="15" t="inlineStr">
        <is>
          <t>P004</t>
        </is>
      </c>
      <c r="B7" s="15" t="inlineStr">
        <is>
          <t>David Kim</t>
        </is>
      </c>
      <c r="C7" s="15" t="inlineStr">
        <is>
          <t>Pension</t>
        </is>
      </c>
      <c r="D7" s="16">
        <f>SUMIF('Payment Log'!A:A,A7,'Payment Log'!F:F)</f>
        <v/>
      </c>
      <c r="E7" s="16">
        <f>SUMIF('Payment Log'!A:A,A7,'Payment Log'!G:G)</f>
        <v/>
      </c>
      <c r="F7" s="16">
        <f>E7-D7</f>
        <v/>
      </c>
      <c r="G7" s="14">
        <f>COUNTIFS('Payment Log'!A:A,A7,'Payment Log'!I:I,"&lt;&gt;Paid")</f>
        <v/>
      </c>
      <c r="H7" s="23">
        <f>IFERROR(1-G7/12,0)</f>
        <v/>
      </c>
      <c r="I7" s="14">
        <f>IF(G7&gt;=3,"HIGH",IF(G7&gt;=1,"MEDIUM","LOW"))</f>
        <v/>
      </c>
    </row>
    <row r="8">
      <c r="A8" s="10" t="inlineStr">
        <is>
          <t>P005</t>
        </is>
      </c>
      <c r="B8" s="10" t="inlineStr">
        <is>
          <t>Linda Tremblay</t>
        </is>
      </c>
      <c r="C8" s="10" t="inlineStr">
        <is>
          <t>Allowance</t>
        </is>
      </c>
      <c r="D8" s="11">
        <f>SUMIF('Payment Log'!A:A,A8,'Payment Log'!F:F)</f>
        <v/>
      </c>
      <c r="E8" s="11">
        <f>SUMIF('Payment Log'!A:A,A8,'Payment Log'!G:G)</f>
        <v/>
      </c>
      <c r="F8" s="11">
        <f>E8-D8</f>
        <v/>
      </c>
      <c r="G8" s="9">
        <f>COUNTIFS('Payment Log'!A:A,A8,'Payment Log'!I:I,"&lt;&gt;Paid")</f>
        <v/>
      </c>
      <c r="H8" s="22">
        <f>IFERROR(1-G8/12,0)</f>
        <v/>
      </c>
      <c r="I8" s="9">
        <f>IF(G8&gt;=3,"HIGH",IF(G8&gt;=1,"MEDIUM","LOW"))</f>
        <v/>
      </c>
    </row>
    <row r="9">
      <c r="A9" s="15" t="inlineStr">
        <is>
          <t>P006</t>
        </is>
      </c>
      <c r="B9" s="15" t="inlineStr">
        <is>
          <t>James Wilson</t>
        </is>
      </c>
      <c r="C9" s="15" t="inlineStr">
        <is>
          <t>Pension</t>
        </is>
      </c>
      <c r="D9" s="16">
        <f>SUMIF('Payment Log'!A:A,A9,'Payment Log'!F:F)</f>
        <v/>
      </c>
      <c r="E9" s="16">
        <f>SUMIF('Payment Log'!A:A,A9,'Payment Log'!G:G)</f>
        <v/>
      </c>
      <c r="F9" s="16">
        <f>E9-D9</f>
        <v/>
      </c>
      <c r="G9" s="14">
        <f>COUNTIFS('Payment Log'!A:A,A9,'Payment Log'!I:I,"&lt;&gt;Paid")</f>
        <v/>
      </c>
      <c r="H9" s="23">
        <f>IFERROR(1-G9/12,0)</f>
        <v/>
      </c>
      <c r="I9" s="14">
        <f>IF(G9&gt;=3,"HIGH",IF(G9&gt;=1,"MEDIUM","LOW"))</f>
        <v/>
      </c>
    </row>
    <row r="10">
      <c r="A10" s="10" t="inlineStr">
        <is>
          <t>P007</t>
        </is>
      </c>
      <c r="B10" s="10" t="inlineStr">
        <is>
          <t>Patricia Moore</t>
        </is>
      </c>
      <c r="C10" s="10" t="inlineStr">
        <is>
          <t>Allowance</t>
        </is>
      </c>
      <c r="D10" s="11">
        <f>SUMIF('Payment Log'!A:A,A10,'Payment Log'!F:F)</f>
        <v/>
      </c>
      <c r="E10" s="11">
        <f>SUMIF('Payment Log'!A:A,A10,'Payment Log'!G:G)</f>
        <v/>
      </c>
      <c r="F10" s="11">
        <f>E10-D10</f>
        <v/>
      </c>
      <c r="G10" s="9">
        <f>COUNTIFS('Payment Log'!A:A,A10,'Payment Log'!I:I,"&lt;&gt;Paid")</f>
        <v/>
      </c>
      <c r="H10" s="22">
        <f>IFERROR(1-G10/12,0)</f>
        <v/>
      </c>
      <c r="I10" s="9">
        <f>IF(G10&gt;=3,"HIGH",IF(G10&gt;=1,"MEDIUM","LOW"))</f>
        <v/>
      </c>
    </row>
    <row r="11">
      <c r="A11" s="15" t="inlineStr">
        <is>
          <t>P008</t>
        </is>
      </c>
      <c r="B11" s="15" t="inlineStr">
        <is>
          <t>Michael Scott</t>
        </is>
      </c>
      <c r="C11" s="15" t="inlineStr">
        <is>
          <t>Pension</t>
        </is>
      </c>
      <c r="D11" s="16">
        <f>SUMIF('Payment Log'!A:A,A11,'Payment Log'!F:F)</f>
        <v/>
      </c>
      <c r="E11" s="16">
        <f>SUMIF('Payment Log'!A:A,A11,'Payment Log'!G:G)</f>
        <v/>
      </c>
      <c r="F11" s="16">
        <f>E11-D11</f>
        <v/>
      </c>
      <c r="G11" s="14">
        <f>COUNTIFS('Payment Log'!A:A,A11,'Payment Log'!I:I,"&lt;&gt;Paid")</f>
        <v/>
      </c>
      <c r="H11" s="23">
        <f>IFERROR(1-G11/12,0)</f>
        <v/>
      </c>
      <c r="I11" s="14">
        <f>IF(G11&gt;=3,"HIGH",IF(G11&gt;=1,"MEDIUM","LOW"))</f>
        <v/>
      </c>
    </row>
    <row r="12">
      <c r="A12" s="10" t="inlineStr">
        <is>
          <t>P009</t>
        </is>
      </c>
      <c r="B12" s="10" t="inlineStr">
        <is>
          <t>Barbara Lee</t>
        </is>
      </c>
      <c r="C12" s="10" t="inlineStr">
        <is>
          <t>Pension</t>
        </is>
      </c>
      <c r="D12" s="11">
        <f>SUMIF('Payment Log'!A:A,A12,'Payment Log'!F:F)</f>
        <v/>
      </c>
      <c r="E12" s="11">
        <f>SUMIF('Payment Log'!A:A,A12,'Payment Log'!G:G)</f>
        <v/>
      </c>
      <c r="F12" s="11">
        <f>E12-D12</f>
        <v/>
      </c>
      <c r="G12" s="9">
        <f>COUNTIFS('Payment Log'!A:A,A12,'Payment Log'!I:I,"&lt;&gt;Paid")</f>
        <v/>
      </c>
      <c r="H12" s="22">
        <f>IFERROR(1-G12/12,0)</f>
        <v/>
      </c>
      <c r="I12" s="9">
        <f>IF(G12&gt;=3,"HIGH",IF(G12&gt;=1,"MEDIUM","LOW"))</f>
        <v/>
      </c>
    </row>
    <row r="13">
      <c r="A13" s="15" t="inlineStr">
        <is>
          <t>P010</t>
        </is>
      </c>
      <c r="B13" s="15" t="inlineStr">
        <is>
          <t>William Chen</t>
        </is>
      </c>
      <c r="C13" s="15" t="inlineStr">
        <is>
          <t>Allowance</t>
        </is>
      </c>
      <c r="D13" s="16">
        <f>SUMIF('Payment Log'!A:A,A13,'Payment Log'!F:F)</f>
        <v/>
      </c>
      <c r="E13" s="16">
        <f>SUMIF('Payment Log'!A:A,A13,'Payment Log'!G:G)</f>
        <v/>
      </c>
      <c r="F13" s="16">
        <f>E13-D13</f>
        <v/>
      </c>
      <c r="G13" s="14">
        <f>COUNTIFS('Payment Log'!A:A,A13,'Payment Log'!I:I,"&lt;&gt;Paid")</f>
        <v/>
      </c>
      <c r="H13" s="23">
        <f>IFERROR(1-G13/12,0)</f>
        <v/>
      </c>
      <c r="I13" s="14">
        <f>IF(G13&gt;=3,"HIGH",IF(G13&gt;=1,"MEDIUM","LOW"))</f>
        <v/>
      </c>
    </row>
    <row r="14">
      <c r="A14" s="10" t="inlineStr">
        <is>
          <t>P011</t>
        </is>
      </c>
      <c r="B14" s="10" t="inlineStr">
        <is>
          <t>Elizabeth Brown</t>
        </is>
      </c>
      <c r="C14" s="10" t="inlineStr">
        <is>
          <t>Pension</t>
        </is>
      </c>
      <c r="D14" s="11">
        <f>SUMIF('Payment Log'!A:A,A14,'Payment Log'!F:F)</f>
        <v/>
      </c>
      <c r="E14" s="11">
        <f>SUMIF('Payment Log'!A:A,A14,'Payment Log'!G:G)</f>
        <v/>
      </c>
      <c r="F14" s="11">
        <f>E14-D14</f>
        <v/>
      </c>
      <c r="G14" s="9">
        <f>COUNTIFS('Payment Log'!A:A,A14,'Payment Log'!I:I,"&lt;&gt;Paid")</f>
        <v/>
      </c>
      <c r="H14" s="22">
        <f>IFERROR(1-G14/12,0)</f>
        <v/>
      </c>
      <c r="I14" s="9">
        <f>IF(G14&gt;=3,"HIGH",IF(G14&gt;=1,"MEDIUM","LOW"))</f>
        <v/>
      </c>
    </row>
    <row r="15">
      <c r="A15" s="15" t="inlineStr">
        <is>
          <t>P012</t>
        </is>
      </c>
      <c r="B15" s="15" t="inlineStr">
        <is>
          <t>Richard Davis</t>
        </is>
      </c>
      <c r="C15" s="15" t="inlineStr">
        <is>
          <t>Allowance</t>
        </is>
      </c>
      <c r="D15" s="16">
        <f>SUMIF('Payment Log'!A:A,A15,'Payment Log'!F:F)</f>
        <v/>
      </c>
      <c r="E15" s="16">
        <f>SUMIF('Payment Log'!A:A,A15,'Payment Log'!G:G)</f>
        <v/>
      </c>
      <c r="F15" s="16">
        <f>E15-D15</f>
        <v/>
      </c>
      <c r="G15" s="14">
        <f>COUNTIFS('Payment Log'!A:A,A15,'Payment Log'!I:I,"&lt;&gt;Paid")</f>
        <v/>
      </c>
      <c r="H15" s="23">
        <f>IFERROR(1-G15/12,0)</f>
        <v/>
      </c>
      <c r="I15" s="14">
        <f>IF(G15&gt;=3,"HIGH",IF(G15&gt;=1,"MEDIUM","LOW"))</f>
        <v/>
      </c>
    </row>
    <row r="16">
      <c r="A16" s="10" t="inlineStr">
        <is>
          <t>P013</t>
        </is>
      </c>
      <c r="B16" s="10" t="inlineStr">
        <is>
          <t>Jennifer White</t>
        </is>
      </c>
      <c r="C16" s="10" t="inlineStr">
        <is>
          <t>Pension</t>
        </is>
      </c>
      <c r="D16" s="11">
        <f>SUMIF('Payment Log'!A:A,A16,'Payment Log'!F:F)</f>
        <v/>
      </c>
      <c r="E16" s="11">
        <f>SUMIF('Payment Log'!A:A,A16,'Payment Log'!G:G)</f>
        <v/>
      </c>
      <c r="F16" s="11">
        <f>E16-D16</f>
        <v/>
      </c>
      <c r="G16" s="9">
        <f>COUNTIFS('Payment Log'!A:A,A16,'Payment Log'!I:I,"&lt;&gt;Paid")</f>
        <v/>
      </c>
      <c r="H16" s="22">
        <f>IFERROR(1-G16/12,0)</f>
        <v/>
      </c>
      <c r="I16" s="9">
        <f>IF(G16&gt;=3,"HIGH",IF(G16&gt;=1,"MEDIUM","LOW"))</f>
        <v/>
      </c>
    </row>
    <row r="17">
      <c r="A17" s="15" t="inlineStr">
        <is>
          <t>P014</t>
        </is>
      </c>
      <c r="B17" s="15" t="inlineStr">
        <is>
          <t>Charles Harris</t>
        </is>
      </c>
      <c r="C17" s="15" t="inlineStr">
        <is>
          <t>Pension</t>
        </is>
      </c>
      <c r="D17" s="16">
        <f>SUMIF('Payment Log'!A:A,A17,'Payment Log'!F:F)</f>
        <v/>
      </c>
      <c r="E17" s="16">
        <f>SUMIF('Payment Log'!A:A,A17,'Payment Log'!G:G)</f>
        <v/>
      </c>
      <c r="F17" s="16">
        <f>E17-D17</f>
        <v/>
      </c>
      <c r="G17" s="14">
        <f>COUNTIFS('Payment Log'!A:A,A17,'Payment Log'!I:I,"&lt;&gt;Paid")</f>
        <v/>
      </c>
      <c r="H17" s="23">
        <f>IFERROR(1-G17/12,0)</f>
        <v/>
      </c>
      <c r="I17" s="14">
        <f>IF(G17&gt;=3,"HIGH",IF(G17&gt;=1,"MEDIUM","LOW"))</f>
        <v/>
      </c>
    </row>
    <row r="18">
      <c r="A18" s="10" t="inlineStr">
        <is>
          <t>P015</t>
        </is>
      </c>
      <c r="B18" s="10" t="inlineStr">
        <is>
          <t>Maria Thompson</t>
        </is>
      </c>
      <c r="C18" s="10" t="inlineStr">
        <is>
          <t>Allowance</t>
        </is>
      </c>
      <c r="D18" s="11">
        <f>SUMIF('Payment Log'!A:A,A18,'Payment Log'!F:F)</f>
        <v/>
      </c>
      <c r="E18" s="11">
        <f>SUMIF('Payment Log'!A:A,A18,'Payment Log'!G:G)</f>
        <v/>
      </c>
      <c r="F18" s="11">
        <f>E18-D18</f>
        <v/>
      </c>
      <c r="G18" s="9">
        <f>COUNTIFS('Payment Log'!A:A,A18,'Payment Log'!I:I,"&lt;&gt;Paid")</f>
        <v/>
      </c>
      <c r="H18" s="22">
        <f>IFERROR(1-G18/12,0)</f>
        <v/>
      </c>
      <c r="I18" s="9">
        <f>IF(G18&gt;=3,"HIGH",IF(G18&gt;=1,"MEDIUM","LOW"))</f>
        <v/>
      </c>
    </row>
    <row r="19">
      <c r="A19" s="24" t="inlineStr">
        <is>
          <t>TOTALS</t>
        </is>
      </c>
      <c r="B19" s="25" t="n"/>
      <c r="C19" s="25" t="n"/>
      <c r="D19" s="26">
        <f>SUM(D4:D18)</f>
        <v/>
      </c>
      <c r="E19" s="26">
        <f>SUM(E4:E18)</f>
        <v/>
      </c>
      <c r="F19" s="26">
        <f>SUM(F4:F18)</f>
        <v/>
      </c>
      <c r="G19" s="27">
        <f>SUM(G4:G18)</f>
        <v/>
      </c>
      <c r="H19" s="25" t="n"/>
      <c r="I19" s="25" t="n"/>
    </row>
  </sheetData>
  <mergeCells count="2">
    <mergeCell ref="A1:I1"/>
    <mergeCell ref="A2:I2"/>
  </mergeCells>
  <conditionalFormatting sqref="I4:I18">
    <cfRule type="cellIs" priority="1" operator="equal" dxfId="0">
      <formula>"HIGH"</formula>
    </cfRule>
    <cfRule type="cellIs" priority="2" operator="equal" dxfId="1">
      <formula>"MEDIUM"</formula>
    </cfRule>
    <cfRule type="cellIs" priority="3" operator="equal" dxfId="2">
      <formula>"LOW"</formula>
    </cfRule>
  </conditionalFormatting>
  <conditionalFormatting sqref="F4:F18">
    <cfRule type="colorScale" priority="4">
      <colorScale>
        <cfvo type="num" val="-5000"/>
        <cfvo type="num" val="0"/>
        <cfvo type="num" val="5000"/>
        <color rgb="0063BE7B"/>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
  <sheetViews>
    <sheetView showGridLines="0" workbookViewId="0">
      <selection activeCell="A1" sqref="A1"/>
    </sheetView>
  </sheetViews>
  <sheetFormatPr baseColWidth="8" defaultRowHeight="15"/>
  <cols>
    <col width="35" customWidth="1" min="1" max="1"/>
    <col width="10" customWidth="1" min="2" max="2"/>
    <col width="45" customWidth="1" min="3" max="3"/>
    <col width="45" customWidth="1" min="4" max="4"/>
    <col width="24" customWidth="1" min="5" max="5"/>
    <col width="45" customWidth="1" min="6" max="6"/>
    <col width="45" customWidth="1" min="7" max="7"/>
    <col width="28" customWidth="1" min="8" max="8"/>
    <col width="11" customWidth="1" min="9" max="9"/>
    <col width="11" customWidth="1" min="10" max="10"/>
    <col width="15" customWidth="1" min="11" max="11"/>
    <col width="45" customWidth="1" min="12" max="12"/>
  </cols>
  <sheetData>
    <row r="1" ht="28" customHeight="1">
      <c r="A1" s="6" t="inlineStr">
        <is>
          <t>Monthly Payment Dashboard — 2024</t>
        </is>
      </c>
    </row>
    <row r="2"/>
    <row r="3">
      <c r="A3" s="8" t="inlineStr">
        <is>
          <t>Month</t>
        </is>
      </c>
      <c r="B3" s="8" t="inlineStr">
        <is>
          <t>Month #</t>
        </is>
      </c>
      <c r="C3" s="8" t="inlineStr">
        <is>
          <t>Total Expected ($)</t>
        </is>
      </c>
      <c r="D3" s="8" t="inlineStr">
        <is>
          <t>Total Actual ($)</t>
        </is>
      </c>
      <c r="E3" s="8" t="inlineStr">
        <is>
          <t>Total Discrepancy ($)</t>
        </is>
      </c>
      <c r="F3" s="8" t="inlineStr">
        <is>
          <t>Payments Made</t>
        </is>
      </c>
      <c r="G3" s="8" t="inlineStr">
        <is>
          <t>Flags</t>
        </is>
      </c>
      <c r="H3" s="8" t="inlineStr">
        <is>
          <t>Compliance Rate (%)</t>
        </is>
      </c>
      <c r="K3" s="8" t="inlineStr">
        <is>
          <t>Status</t>
        </is>
      </c>
      <c r="L3" s="8" t="inlineStr">
        <is>
          <t>Count</t>
        </is>
      </c>
    </row>
    <row r="4">
      <c r="A4" s="14" t="inlineStr">
        <is>
          <t>Jan</t>
        </is>
      </c>
      <c r="B4" s="14" t="n">
        <v>1</v>
      </c>
      <c r="C4" s="16">
        <f>SUMIF('Payment Log'!E:E,B4,'Payment Log'!F:F)</f>
        <v/>
      </c>
      <c r="D4" s="16">
        <f>SUMIF('Payment Log'!E:E,B4,'Payment Log'!G:G)</f>
        <v/>
      </c>
      <c r="E4" s="16">
        <f>D4-C4</f>
        <v/>
      </c>
      <c r="F4" s="14">
        <f>COUNTIFS('Payment Log'!E:E,B4,'Payment Log'!I:I,"Paid")</f>
        <v/>
      </c>
      <c r="G4" s="14">
        <f>COUNTIFS('Payment Log'!E:E,B4,'Payment Log'!I:I,"&lt;&gt;Paid")</f>
        <v/>
      </c>
      <c r="H4" s="23">
        <f>IFERROR(F4/(F4+G4),0)</f>
        <v/>
      </c>
      <c r="K4" s="28" t="inlineStr">
        <is>
          <t>Paid</t>
        </is>
      </c>
      <c r="L4" s="29">
        <f>COUNTIF('Payment Log'!I:I,"Paid")</f>
        <v/>
      </c>
    </row>
    <row r="5">
      <c r="A5" s="9" t="inlineStr">
        <is>
          <t>Feb</t>
        </is>
      </c>
      <c r="B5" s="9" t="n">
        <v>2</v>
      </c>
      <c r="C5" s="11">
        <f>SUMIF('Payment Log'!E:E,B5,'Payment Log'!F:F)</f>
        <v/>
      </c>
      <c r="D5" s="11">
        <f>SUMIF('Payment Log'!E:E,B5,'Payment Log'!G:G)</f>
        <v/>
      </c>
      <c r="E5" s="11">
        <f>D5-C5</f>
        <v/>
      </c>
      <c r="F5" s="9">
        <f>COUNTIFS('Payment Log'!E:E,B5,'Payment Log'!I:I,"Paid")</f>
        <v/>
      </c>
      <c r="G5" s="9">
        <f>COUNTIFS('Payment Log'!E:E,B5,'Payment Log'!I:I,"&lt;&gt;Paid")</f>
        <v/>
      </c>
      <c r="H5" s="22">
        <f>IFERROR(F5/(F5+G5),0)</f>
        <v/>
      </c>
      <c r="K5" s="28" t="inlineStr">
        <is>
          <t>Late</t>
        </is>
      </c>
      <c r="L5" s="29">
        <f>COUNTIF('Payment Log'!I:I,"Late")</f>
        <v/>
      </c>
    </row>
    <row r="6">
      <c r="A6" s="14" t="inlineStr">
        <is>
          <t>Mar</t>
        </is>
      </c>
      <c r="B6" s="14" t="n">
        <v>3</v>
      </c>
      <c r="C6" s="16">
        <f>SUMIF('Payment Log'!E:E,B6,'Payment Log'!F:F)</f>
        <v/>
      </c>
      <c r="D6" s="16">
        <f>SUMIF('Payment Log'!E:E,B6,'Payment Log'!G:G)</f>
        <v/>
      </c>
      <c r="E6" s="16">
        <f>D6-C6</f>
        <v/>
      </c>
      <c r="F6" s="14">
        <f>COUNTIFS('Payment Log'!E:E,B6,'Payment Log'!I:I,"Paid")</f>
        <v/>
      </c>
      <c r="G6" s="14">
        <f>COUNTIFS('Payment Log'!E:E,B6,'Payment Log'!I:I,"&lt;&gt;Paid")</f>
        <v/>
      </c>
      <c r="H6" s="23">
        <f>IFERROR(F6/(F6+G6),0)</f>
        <v/>
      </c>
      <c r="K6" s="28" t="inlineStr">
        <is>
          <t>Missed</t>
        </is>
      </c>
      <c r="L6" s="29">
        <f>COUNTIF('Payment Log'!I:I,"Missed")</f>
        <v/>
      </c>
    </row>
    <row r="7">
      <c r="A7" s="9" t="inlineStr">
        <is>
          <t>Apr</t>
        </is>
      </c>
      <c r="B7" s="9" t="n">
        <v>4</v>
      </c>
      <c r="C7" s="11">
        <f>SUMIF('Payment Log'!E:E,B7,'Payment Log'!F:F)</f>
        <v/>
      </c>
      <c r="D7" s="11">
        <f>SUMIF('Payment Log'!E:E,B7,'Payment Log'!G:G)</f>
        <v/>
      </c>
      <c r="E7" s="11">
        <f>D7-C7</f>
        <v/>
      </c>
      <c r="F7" s="9">
        <f>COUNTIFS('Payment Log'!E:E,B7,'Payment Log'!I:I,"Paid")</f>
        <v/>
      </c>
      <c r="G7" s="9">
        <f>COUNTIFS('Payment Log'!E:E,B7,'Payment Log'!I:I,"&lt;&gt;Paid")</f>
        <v/>
      </c>
      <c r="H7" s="22">
        <f>IFERROR(F7/(F7+G7),0)</f>
        <v/>
      </c>
      <c r="K7" s="28" t="inlineStr">
        <is>
          <t>Under Review</t>
        </is>
      </c>
      <c r="L7" s="29">
        <f>COUNTIF('Payment Log'!I:I,"Under Review")</f>
        <v/>
      </c>
    </row>
    <row r="8">
      <c r="A8" s="14" t="inlineStr">
        <is>
          <t>May</t>
        </is>
      </c>
      <c r="B8" s="14" t="n">
        <v>5</v>
      </c>
      <c r="C8" s="16">
        <f>SUMIF('Payment Log'!E:E,B8,'Payment Log'!F:F)</f>
        <v/>
      </c>
      <c r="D8" s="16">
        <f>SUMIF('Payment Log'!E:E,B8,'Payment Log'!G:G)</f>
        <v/>
      </c>
      <c r="E8" s="16">
        <f>D8-C8</f>
        <v/>
      </c>
      <c r="F8" s="14">
        <f>COUNTIFS('Payment Log'!E:E,B8,'Payment Log'!I:I,"Paid")</f>
        <v/>
      </c>
      <c r="G8" s="14">
        <f>COUNTIFS('Payment Log'!E:E,B8,'Payment Log'!I:I,"&lt;&gt;Paid")</f>
        <v/>
      </c>
      <c r="H8" s="23">
        <f>IFERROR(F8/(F8+G8),0)</f>
        <v/>
      </c>
      <c r="K8" s="28" t="inlineStr">
        <is>
          <t>Discrepancy</t>
        </is>
      </c>
      <c r="L8" s="29">
        <f>COUNTIF('Payment Log'!I:I,"Discrepancy")</f>
        <v/>
      </c>
    </row>
    <row r="9">
      <c r="A9" s="9" t="inlineStr">
        <is>
          <t>Jun</t>
        </is>
      </c>
      <c r="B9" s="9" t="n">
        <v>6</v>
      </c>
      <c r="C9" s="11">
        <f>SUMIF('Payment Log'!E:E,B9,'Payment Log'!F:F)</f>
        <v/>
      </c>
      <c r="D9" s="11">
        <f>SUMIF('Payment Log'!E:E,B9,'Payment Log'!G:G)</f>
        <v/>
      </c>
      <c r="E9" s="11">
        <f>D9-C9</f>
        <v/>
      </c>
      <c r="F9" s="9">
        <f>COUNTIFS('Payment Log'!E:E,B9,'Payment Log'!I:I,"Paid")</f>
        <v/>
      </c>
      <c r="G9" s="9">
        <f>COUNTIFS('Payment Log'!E:E,B9,'Payment Log'!I:I,"&lt;&gt;Paid")</f>
        <v/>
      </c>
      <c r="H9" s="22">
        <f>IFERROR(F9/(F9+G9),0)</f>
        <v/>
      </c>
    </row>
    <row r="10">
      <c r="A10" s="14" t="inlineStr">
        <is>
          <t>Jul</t>
        </is>
      </c>
      <c r="B10" s="14" t="n">
        <v>7</v>
      </c>
      <c r="C10" s="16">
        <f>SUMIF('Payment Log'!E:E,B10,'Payment Log'!F:F)</f>
        <v/>
      </c>
      <c r="D10" s="16">
        <f>SUMIF('Payment Log'!E:E,B10,'Payment Log'!G:G)</f>
        <v/>
      </c>
      <c r="E10" s="16">
        <f>D10-C10</f>
        <v/>
      </c>
      <c r="F10" s="14">
        <f>COUNTIFS('Payment Log'!E:E,B10,'Payment Log'!I:I,"Paid")</f>
        <v/>
      </c>
      <c r="G10" s="14">
        <f>COUNTIFS('Payment Log'!E:E,B10,'Payment Log'!I:I,"&lt;&gt;Paid")</f>
        <v/>
      </c>
      <c r="H10" s="23">
        <f>IFERROR(F10/(F10+G10),0)</f>
        <v/>
      </c>
    </row>
    <row r="11">
      <c r="A11" s="9" t="inlineStr">
        <is>
          <t>Aug</t>
        </is>
      </c>
      <c r="B11" s="9" t="n">
        <v>8</v>
      </c>
      <c r="C11" s="11">
        <f>SUMIF('Payment Log'!E:E,B11,'Payment Log'!F:F)</f>
        <v/>
      </c>
      <c r="D11" s="11">
        <f>SUMIF('Payment Log'!E:E,B11,'Payment Log'!G:G)</f>
        <v/>
      </c>
      <c r="E11" s="11">
        <f>D11-C11</f>
        <v/>
      </c>
      <c r="F11" s="9">
        <f>COUNTIFS('Payment Log'!E:E,B11,'Payment Log'!I:I,"Paid")</f>
        <v/>
      </c>
      <c r="G11" s="9">
        <f>COUNTIFS('Payment Log'!E:E,B11,'Payment Log'!I:I,"&lt;&gt;Paid")</f>
        <v/>
      </c>
      <c r="H11" s="22">
        <f>IFERROR(F11/(F11+G11),0)</f>
        <v/>
      </c>
    </row>
    <row r="12">
      <c r="A12" s="14" t="inlineStr">
        <is>
          <t>Sep</t>
        </is>
      </c>
      <c r="B12" s="14" t="n">
        <v>9</v>
      </c>
      <c r="C12" s="16">
        <f>SUMIF('Payment Log'!E:E,B12,'Payment Log'!F:F)</f>
        <v/>
      </c>
      <c r="D12" s="16">
        <f>SUMIF('Payment Log'!E:E,B12,'Payment Log'!G:G)</f>
        <v/>
      </c>
      <c r="E12" s="16">
        <f>D12-C12</f>
        <v/>
      </c>
      <c r="F12" s="14">
        <f>COUNTIFS('Payment Log'!E:E,B12,'Payment Log'!I:I,"Paid")</f>
        <v/>
      </c>
      <c r="G12" s="14">
        <f>COUNTIFS('Payment Log'!E:E,B12,'Payment Log'!I:I,"&lt;&gt;Paid")</f>
        <v/>
      </c>
      <c r="H12" s="23">
        <f>IFERROR(F12/(F12+G12),0)</f>
        <v/>
      </c>
    </row>
    <row r="13">
      <c r="A13" s="9" t="inlineStr">
        <is>
          <t>Oct</t>
        </is>
      </c>
      <c r="B13" s="9" t="n">
        <v>10</v>
      </c>
      <c r="C13" s="11">
        <f>SUMIF('Payment Log'!E:E,B13,'Payment Log'!F:F)</f>
        <v/>
      </c>
      <c r="D13" s="11">
        <f>SUMIF('Payment Log'!E:E,B13,'Payment Log'!G:G)</f>
        <v/>
      </c>
      <c r="E13" s="11">
        <f>D13-C13</f>
        <v/>
      </c>
      <c r="F13" s="9">
        <f>COUNTIFS('Payment Log'!E:E,B13,'Payment Log'!I:I,"Paid")</f>
        <v/>
      </c>
      <c r="G13" s="9">
        <f>COUNTIFS('Payment Log'!E:E,B13,'Payment Log'!I:I,"&lt;&gt;Paid")</f>
        <v/>
      </c>
      <c r="H13" s="22">
        <f>IFERROR(F13/(F13+G13),0)</f>
        <v/>
      </c>
    </row>
    <row r="14">
      <c r="A14" s="14" t="inlineStr">
        <is>
          <t>Nov</t>
        </is>
      </c>
      <c r="B14" s="14" t="n">
        <v>11</v>
      </c>
      <c r="C14" s="16">
        <f>SUMIF('Payment Log'!E:E,B14,'Payment Log'!F:F)</f>
        <v/>
      </c>
      <c r="D14" s="16">
        <f>SUMIF('Payment Log'!E:E,B14,'Payment Log'!G:G)</f>
        <v/>
      </c>
      <c r="E14" s="16">
        <f>D14-C14</f>
        <v/>
      </c>
      <c r="F14" s="14">
        <f>COUNTIFS('Payment Log'!E:E,B14,'Payment Log'!I:I,"Paid")</f>
        <v/>
      </c>
      <c r="G14" s="14">
        <f>COUNTIFS('Payment Log'!E:E,B14,'Payment Log'!I:I,"&lt;&gt;Paid")</f>
        <v/>
      </c>
      <c r="H14" s="23">
        <f>IFERROR(F14/(F14+G14),0)</f>
        <v/>
      </c>
    </row>
    <row r="15">
      <c r="A15" s="9" t="inlineStr">
        <is>
          <t>Dec</t>
        </is>
      </c>
      <c r="B15" s="9" t="n">
        <v>12</v>
      </c>
      <c r="C15" s="11">
        <f>SUMIF('Payment Log'!E:E,B15,'Payment Log'!F:F)</f>
        <v/>
      </c>
      <c r="D15" s="11">
        <f>SUMIF('Payment Log'!E:E,B15,'Payment Log'!G:G)</f>
        <v/>
      </c>
      <c r="E15" s="11">
        <f>D15-C15</f>
        <v/>
      </c>
      <c r="F15" s="9">
        <f>COUNTIFS('Payment Log'!E:E,B15,'Payment Log'!I:I,"Paid")</f>
        <v/>
      </c>
      <c r="G15" s="9">
        <f>COUNTIFS('Payment Log'!E:E,B15,'Payment Log'!I:I,"&lt;&gt;Paid")</f>
        <v/>
      </c>
      <c r="H15" s="22">
        <f>IFERROR(F15/(F15+G15),0)</f>
        <v/>
      </c>
    </row>
  </sheetData>
  <mergeCells count="1">
    <mergeCell ref="A1:H1"/>
  </mergeCells>
  <conditionalFormatting sqref="H4:H15">
    <cfRule type="colorScale" priority="1">
      <colorScale>
        <cfvo type="percent" val="0"/>
        <cfvo type="percent" val="50"/>
        <cfvo type="percent" val="100"/>
        <color rgb="00F8696B"/>
        <color rgb="00FFEB84"/>
        <color rgb="0063BE7B"/>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K81"/>
  <sheetViews>
    <sheetView showGridLines="0" workbookViewId="0">
      <selection activeCell="A1" sqref="A1"/>
    </sheetView>
  </sheetViews>
  <sheetFormatPr baseColWidth="8" defaultRowHeight="15"/>
  <cols>
    <col width="45" customWidth="1" min="1" max="1"/>
    <col width="14" customWidth="1" min="2" max="2"/>
    <col width="22" customWidth="1" min="3" max="3"/>
    <col width="12" customWidth="1" min="4" max="4"/>
    <col width="8" customWidth="1" min="5" max="5"/>
    <col width="15" customWidth="1" min="6" max="6"/>
    <col width="13" customWidth="1" min="7" max="7"/>
    <col width="18" customWidth="1" min="8" max="8"/>
    <col width="15" customWidth="1" min="9" max="9"/>
    <col width="14" customWidth="1" min="10" max="10"/>
    <col width="13" customWidth="1" min="11" max="11"/>
  </cols>
  <sheetData>
    <row r="1" ht="28" customHeight="1">
      <c r="A1" s="30" t="inlineStr">
        <is>
          <t>Discrepancy Register — Non-Paid Transactions Review Queue</t>
        </is>
      </c>
    </row>
    <row r="2">
      <c r="A2" s="31" t="inlineStr">
        <is>
          <t>Use dropdown filters to sort by Month, Status, or Claimant. Update 'Resolution' column as cases are cleared.</t>
        </is>
      </c>
    </row>
    <row r="3">
      <c r="A3" s="32" t="inlineStr">
        <is>
          <t>#</t>
        </is>
      </c>
      <c r="B3" s="32" t="inlineStr">
        <is>
          <t>Claimant ID</t>
        </is>
      </c>
      <c r="C3" s="32" t="inlineStr">
        <is>
          <t>Claimant Name</t>
        </is>
      </c>
      <c r="D3" s="32" t="inlineStr">
        <is>
          <t>Type</t>
        </is>
      </c>
      <c r="E3" s="32" t="inlineStr">
        <is>
          <t>Month</t>
        </is>
      </c>
      <c r="F3" s="32" t="inlineStr">
        <is>
          <t>Expected ($)</t>
        </is>
      </c>
      <c r="G3" s="32" t="inlineStr">
        <is>
          <t>Actual ($)</t>
        </is>
      </c>
      <c r="H3" s="32" t="inlineStr">
        <is>
          <t>Discrepancy ($)</t>
        </is>
      </c>
      <c r="I3" s="32" t="inlineStr">
        <is>
          <t>Status</t>
        </is>
      </c>
      <c r="J3" s="32" t="inlineStr">
        <is>
          <t>Reviewed By</t>
        </is>
      </c>
      <c r="K3" s="32" t="inlineStr">
        <is>
          <t>Resolution</t>
        </is>
      </c>
    </row>
    <row r="4">
      <c r="A4" s="18" t="n">
        <v>1</v>
      </c>
      <c r="B4" s="18" t="inlineStr">
        <is>
          <t>P001</t>
        </is>
      </c>
      <c r="C4" s="33" t="inlineStr">
        <is>
          <t>Margaret Allen</t>
        </is>
      </c>
      <c r="D4" s="18" t="inlineStr">
        <is>
          <t>Pension</t>
        </is>
      </c>
      <c r="E4" s="18" t="inlineStr">
        <is>
          <t>Mar</t>
        </is>
      </c>
      <c r="F4" s="34" t="n">
        <v>2122.49</v>
      </c>
      <c r="G4" s="34" t="n">
        <v>1141.16</v>
      </c>
      <c r="H4" s="34" t="n">
        <v>-981.33</v>
      </c>
      <c r="I4" s="18" t="inlineStr">
        <is>
          <t>Under Review</t>
        </is>
      </c>
      <c r="J4" s="18" t="inlineStr">
        <is>
          <t>EMP05</t>
        </is>
      </c>
      <c r="K4" s="18" t="inlineStr">
        <is>
          <t>Pending</t>
        </is>
      </c>
    </row>
    <row r="5">
      <c r="A5" s="19" t="n">
        <v>2</v>
      </c>
      <c r="B5" s="19" t="inlineStr">
        <is>
          <t>P001</t>
        </is>
      </c>
      <c r="C5" s="35" t="inlineStr">
        <is>
          <t>Margaret Allen</t>
        </is>
      </c>
      <c r="D5" s="19" t="inlineStr">
        <is>
          <t>Pension</t>
        </is>
      </c>
      <c r="E5" s="19" t="inlineStr">
        <is>
          <t>Jul</t>
        </is>
      </c>
      <c r="F5" s="36" t="n">
        <v>2122.49</v>
      </c>
      <c r="G5" s="36" t="n">
        <v>2122.49</v>
      </c>
      <c r="H5" s="36" t="n">
        <v>0</v>
      </c>
      <c r="I5" s="19" t="inlineStr">
        <is>
          <t>Late</t>
        </is>
      </c>
      <c r="J5" s="19" t="inlineStr">
        <is>
          <t>EMP01</t>
        </is>
      </c>
      <c r="K5" s="19" t="inlineStr">
        <is>
          <t>Pending</t>
        </is>
      </c>
    </row>
    <row r="6">
      <c r="A6" s="18" t="n">
        <v>3</v>
      </c>
      <c r="B6" s="18" t="inlineStr">
        <is>
          <t>P001</t>
        </is>
      </c>
      <c r="C6" s="33" t="inlineStr">
        <is>
          <t>Margaret Allen</t>
        </is>
      </c>
      <c r="D6" s="18" t="inlineStr">
        <is>
          <t>Pension</t>
        </is>
      </c>
      <c r="E6" s="18" t="inlineStr">
        <is>
          <t>Sep</t>
        </is>
      </c>
      <c r="F6" s="34" t="n">
        <v>2122.49</v>
      </c>
      <c r="G6" s="34" t="n">
        <v>1421.66</v>
      </c>
      <c r="H6" s="34" t="n">
        <v>-700.83</v>
      </c>
      <c r="I6" s="18" t="inlineStr">
        <is>
          <t>Under Review</t>
        </is>
      </c>
      <c r="J6" s="18" t="inlineStr">
        <is>
          <t>EMP05</t>
        </is>
      </c>
      <c r="K6" s="18" t="inlineStr">
        <is>
          <t>Pending</t>
        </is>
      </c>
    </row>
    <row r="7">
      <c r="A7" s="21" t="n">
        <v>4</v>
      </c>
      <c r="B7" s="21" t="inlineStr">
        <is>
          <t>P001</t>
        </is>
      </c>
      <c r="C7" s="37" t="inlineStr">
        <is>
          <t>Margaret Allen</t>
        </is>
      </c>
      <c r="D7" s="21" t="inlineStr">
        <is>
          <t>Pension</t>
        </is>
      </c>
      <c r="E7" s="21" t="inlineStr">
        <is>
          <t>Nov</t>
        </is>
      </c>
      <c r="F7" s="20" t="n">
        <v>2122.49</v>
      </c>
      <c r="G7" s="20" t="n">
        <v>2837.61</v>
      </c>
      <c r="H7" s="20" t="n">
        <v>715.12</v>
      </c>
      <c r="I7" s="21" t="inlineStr">
        <is>
          <t>Discrepancy</t>
        </is>
      </c>
      <c r="J7" s="21" t="inlineStr">
        <is>
          <t>EMP05</t>
        </is>
      </c>
      <c r="K7" s="21" t="inlineStr">
        <is>
          <t>Pending</t>
        </is>
      </c>
    </row>
    <row r="8">
      <c r="A8" s="21" t="n">
        <v>5</v>
      </c>
      <c r="B8" s="21" t="inlineStr">
        <is>
          <t>P001</t>
        </is>
      </c>
      <c r="C8" s="37" t="inlineStr">
        <is>
          <t>Margaret Allen</t>
        </is>
      </c>
      <c r="D8" s="21" t="inlineStr">
        <is>
          <t>Pension</t>
        </is>
      </c>
      <c r="E8" s="21" t="inlineStr">
        <is>
          <t>Dec</t>
        </is>
      </c>
      <c r="F8" s="20" t="n">
        <v>2122.49</v>
      </c>
      <c r="G8" s="20" t="n">
        <v>2545.23</v>
      </c>
      <c r="H8" s="20" t="n">
        <v>422.74</v>
      </c>
      <c r="I8" s="21" t="inlineStr">
        <is>
          <t>Discrepancy</t>
        </is>
      </c>
      <c r="J8" s="21" t="inlineStr">
        <is>
          <t>EMP02</t>
        </is>
      </c>
      <c r="K8" s="21" t="inlineStr">
        <is>
          <t>Pending</t>
        </is>
      </c>
    </row>
    <row r="9">
      <c r="A9" s="19" t="n">
        <v>6</v>
      </c>
      <c r="B9" s="19" t="inlineStr">
        <is>
          <t>P002</t>
        </is>
      </c>
      <c r="C9" s="35" t="inlineStr">
        <is>
          <t>Robert Nguyen</t>
        </is>
      </c>
      <c r="D9" s="19" t="inlineStr">
        <is>
          <t>Pension</t>
        </is>
      </c>
      <c r="E9" s="19" t="inlineStr">
        <is>
          <t>Feb</t>
        </is>
      </c>
      <c r="F9" s="36" t="n">
        <v>2000.5</v>
      </c>
      <c r="G9" s="36" t="n">
        <v>2000.5</v>
      </c>
      <c r="H9" s="36" t="n">
        <v>0</v>
      </c>
      <c r="I9" s="19" t="inlineStr">
        <is>
          <t>Late</t>
        </is>
      </c>
      <c r="J9" s="19" t="inlineStr">
        <is>
          <t>EMP02</t>
        </is>
      </c>
      <c r="K9" s="19" t="inlineStr">
        <is>
          <t>Pending</t>
        </is>
      </c>
    </row>
    <row r="10">
      <c r="A10" s="18" t="n">
        <v>7</v>
      </c>
      <c r="B10" s="18" t="inlineStr">
        <is>
          <t>P002</t>
        </is>
      </c>
      <c r="C10" s="33" t="inlineStr">
        <is>
          <t>Robert Nguyen</t>
        </is>
      </c>
      <c r="D10" s="18" t="inlineStr">
        <is>
          <t>Pension</t>
        </is>
      </c>
      <c r="E10" s="18" t="inlineStr">
        <is>
          <t>Mar</t>
        </is>
      </c>
      <c r="F10" s="34" t="n">
        <v>2000.5</v>
      </c>
      <c r="G10" s="34" t="n">
        <v>1094.51</v>
      </c>
      <c r="H10" s="34" t="n">
        <v>-905.99</v>
      </c>
      <c r="I10" s="18" t="inlineStr">
        <is>
          <t>Under Review</t>
        </is>
      </c>
      <c r="J10" s="18" t="inlineStr">
        <is>
          <t>EMP03</t>
        </is>
      </c>
      <c r="K10" s="18" t="inlineStr">
        <is>
          <t>Pending</t>
        </is>
      </c>
    </row>
    <row r="11">
      <c r="A11" s="18" t="n">
        <v>8</v>
      </c>
      <c r="B11" s="18" t="inlineStr">
        <is>
          <t>P002</t>
        </is>
      </c>
      <c r="C11" s="33" t="inlineStr">
        <is>
          <t>Robert Nguyen</t>
        </is>
      </c>
      <c r="D11" s="18" t="inlineStr">
        <is>
          <t>Pension</t>
        </is>
      </c>
      <c r="E11" s="18" t="inlineStr">
        <is>
          <t>Apr</t>
        </is>
      </c>
      <c r="F11" s="34" t="n">
        <v>2000.5</v>
      </c>
      <c r="G11" s="34" t="n">
        <v>1653.31</v>
      </c>
      <c r="H11" s="34" t="n">
        <v>-347.19</v>
      </c>
      <c r="I11" s="18" t="inlineStr">
        <is>
          <t>Under Review</t>
        </is>
      </c>
      <c r="J11" s="18" t="inlineStr">
        <is>
          <t>EMP02</t>
        </is>
      </c>
      <c r="K11" s="18" t="inlineStr">
        <is>
          <t>Pending</t>
        </is>
      </c>
    </row>
    <row r="12">
      <c r="A12" s="21" t="n">
        <v>9</v>
      </c>
      <c r="B12" s="21" t="inlineStr">
        <is>
          <t>P002</t>
        </is>
      </c>
      <c r="C12" s="37" t="inlineStr">
        <is>
          <t>Robert Nguyen</t>
        </is>
      </c>
      <c r="D12" s="21" t="inlineStr">
        <is>
          <t>Pension</t>
        </is>
      </c>
      <c r="E12" s="21" t="inlineStr">
        <is>
          <t>Jun</t>
        </is>
      </c>
      <c r="F12" s="20" t="n">
        <v>2000.5</v>
      </c>
      <c r="G12" s="20" t="n">
        <v>2520.09</v>
      </c>
      <c r="H12" s="20" t="n">
        <v>519.59</v>
      </c>
      <c r="I12" s="21" t="inlineStr">
        <is>
          <t>Discrepancy</t>
        </is>
      </c>
      <c r="J12" s="21" t="inlineStr">
        <is>
          <t>EMP03</t>
        </is>
      </c>
      <c r="K12" s="21" t="inlineStr">
        <is>
          <t>Pending</t>
        </is>
      </c>
    </row>
    <row r="13">
      <c r="A13" s="18" t="n">
        <v>10</v>
      </c>
      <c r="B13" s="18" t="inlineStr">
        <is>
          <t>P002</t>
        </is>
      </c>
      <c r="C13" s="33" t="inlineStr">
        <is>
          <t>Robert Nguyen</t>
        </is>
      </c>
      <c r="D13" s="18" t="inlineStr">
        <is>
          <t>Pension</t>
        </is>
      </c>
      <c r="E13" s="18" t="inlineStr">
        <is>
          <t>Nov</t>
        </is>
      </c>
      <c r="F13" s="34" t="n">
        <v>2000.5</v>
      </c>
      <c r="G13" s="34" t="n">
        <v>1342.41</v>
      </c>
      <c r="H13" s="34" t="n">
        <v>-658.09</v>
      </c>
      <c r="I13" s="18" t="inlineStr">
        <is>
          <t>Under Review</t>
        </is>
      </c>
      <c r="J13" s="18" t="inlineStr">
        <is>
          <t>EMP03</t>
        </is>
      </c>
      <c r="K13" s="18" t="inlineStr">
        <is>
          <t>Pending</t>
        </is>
      </c>
    </row>
    <row r="14">
      <c r="A14" s="21" t="n">
        <v>11</v>
      </c>
      <c r="B14" s="21" t="inlineStr">
        <is>
          <t>P002</t>
        </is>
      </c>
      <c r="C14" s="37" t="inlineStr">
        <is>
          <t>Robert Nguyen</t>
        </is>
      </c>
      <c r="D14" s="21" t="inlineStr">
        <is>
          <t>Pension</t>
        </is>
      </c>
      <c r="E14" s="21" t="inlineStr">
        <is>
          <t>Dec</t>
        </is>
      </c>
      <c r="F14" s="20" t="n">
        <v>2000.5</v>
      </c>
      <c r="G14" s="20" t="n">
        <v>0</v>
      </c>
      <c r="H14" s="20" t="n">
        <v>-2000.5</v>
      </c>
      <c r="I14" s="21" t="inlineStr">
        <is>
          <t>Missed</t>
        </is>
      </c>
      <c r="J14" s="21" t="inlineStr">
        <is>
          <t>EMP05</t>
        </is>
      </c>
      <c r="K14" s="21" t="inlineStr">
        <is>
          <t>Pending</t>
        </is>
      </c>
    </row>
    <row r="15">
      <c r="A15" s="21" t="n">
        <v>12</v>
      </c>
      <c r="B15" s="21" t="inlineStr">
        <is>
          <t>P003</t>
        </is>
      </c>
      <c r="C15" s="37" t="inlineStr">
        <is>
          <t>Susan Park</t>
        </is>
      </c>
      <c r="D15" s="21" t="inlineStr">
        <is>
          <t>Allowance</t>
        </is>
      </c>
      <c r="E15" s="21" t="inlineStr">
        <is>
          <t>Apr</t>
        </is>
      </c>
      <c r="F15" s="20" t="n">
        <v>1572.8</v>
      </c>
      <c r="G15" s="20" t="n">
        <v>1848.14</v>
      </c>
      <c r="H15" s="20" t="n">
        <v>275.34</v>
      </c>
      <c r="I15" s="21" t="inlineStr">
        <is>
          <t>Discrepancy</t>
        </is>
      </c>
      <c r="J15" s="21" t="inlineStr">
        <is>
          <t>EMP04</t>
        </is>
      </c>
      <c r="K15" s="21" t="inlineStr">
        <is>
          <t>Pending</t>
        </is>
      </c>
    </row>
    <row r="16">
      <c r="A16" s="18" t="n">
        <v>13</v>
      </c>
      <c r="B16" s="18" t="inlineStr">
        <is>
          <t>P003</t>
        </is>
      </c>
      <c r="C16" s="33" t="inlineStr">
        <is>
          <t>Susan Park</t>
        </is>
      </c>
      <c r="D16" s="18" t="inlineStr">
        <is>
          <t>Allowance</t>
        </is>
      </c>
      <c r="E16" s="18" t="inlineStr">
        <is>
          <t>Aug</t>
        </is>
      </c>
      <c r="F16" s="34" t="n">
        <v>1572.8</v>
      </c>
      <c r="G16" s="34" t="n">
        <v>1049.45</v>
      </c>
      <c r="H16" s="34" t="n">
        <v>-523.35</v>
      </c>
      <c r="I16" s="18" t="inlineStr">
        <is>
          <t>Under Review</t>
        </is>
      </c>
      <c r="J16" s="18" t="inlineStr">
        <is>
          <t>EMP03</t>
        </is>
      </c>
      <c r="K16" s="18" t="inlineStr">
        <is>
          <t>Pending</t>
        </is>
      </c>
    </row>
    <row r="17">
      <c r="A17" s="19" t="n">
        <v>14</v>
      </c>
      <c r="B17" s="19" t="inlineStr">
        <is>
          <t>P003</t>
        </is>
      </c>
      <c r="C17" s="35" t="inlineStr">
        <is>
          <t>Susan Park</t>
        </is>
      </c>
      <c r="D17" s="19" t="inlineStr">
        <is>
          <t>Allowance</t>
        </is>
      </c>
      <c r="E17" s="19" t="inlineStr">
        <is>
          <t>Oct</t>
        </is>
      </c>
      <c r="F17" s="36" t="n">
        <v>1572.8</v>
      </c>
      <c r="G17" s="36" t="n">
        <v>1572.8</v>
      </c>
      <c r="H17" s="36" t="n">
        <v>0</v>
      </c>
      <c r="I17" s="19" t="inlineStr">
        <is>
          <t>Late</t>
        </is>
      </c>
      <c r="J17" s="19" t="inlineStr">
        <is>
          <t>EMP01</t>
        </is>
      </c>
      <c r="K17" s="19" t="inlineStr">
        <is>
          <t>Pending</t>
        </is>
      </c>
    </row>
    <row r="18">
      <c r="A18" s="21" t="n">
        <v>15</v>
      </c>
      <c r="B18" s="21" t="inlineStr">
        <is>
          <t>P003</t>
        </is>
      </c>
      <c r="C18" s="37" t="inlineStr">
        <is>
          <t>Susan Park</t>
        </is>
      </c>
      <c r="D18" s="21" t="inlineStr">
        <is>
          <t>Allowance</t>
        </is>
      </c>
      <c r="E18" s="21" t="inlineStr">
        <is>
          <t>Dec</t>
        </is>
      </c>
      <c r="F18" s="20" t="n">
        <v>1572.8</v>
      </c>
      <c r="G18" s="20" t="n">
        <v>2040.35</v>
      </c>
      <c r="H18" s="20" t="n">
        <v>467.55</v>
      </c>
      <c r="I18" s="21" t="inlineStr">
        <is>
          <t>Discrepancy</t>
        </is>
      </c>
      <c r="J18" s="21" t="inlineStr">
        <is>
          <t>EMP03</t>
        </is>
      </c>
      <c r="K18" s="21" t="inlineStr">
        <is>
          <t>Pending</t>
        </is>
      </c>
    </row>
    <row r="19">
      <c r="A19" s="21" t="n">
        <v>16</v>
      </c>
      <c r="B19" s="21" t="inlineStr">
        <is>
          <t>P004</t>
        </is>
      </c>
      <c r="C19" s="37" t="inlineStr">
        <is>
          <t>David Kim</t>
        </is>
      </c>
      <c r="D19" s="21" t="inlineStr">
        <is>
          <t>Pension</t>
        </is>
      </c>
      <c r="E19" s="21" t="inlineStr">
        <is>
          <t>Feb</t>
        </is>
      </c>
      <c r="F19" s="20" t="n">
        <v>2129.65</v>
      </c>
      <c r="G19" s="20" t="n">
        <v>0</v>
      </c>
      <c r="H19" s="20" t="n">
        <v>-2129.65</v>
      </c>
      <c r="I19" s="21" t="inlineStr">
        <is>
          <t>Missed</t>
        </is>
      </c>
      <c r="J19" s="21" t="inlineStr">
        <is>
          <t>EMP05</t>
        </is>
      </c>
      <c r="K19" s="21" t="inlineStr">
        <is>
          <t>Pending</t>
        </is>
      </c>
    </row>
    <row r="20">
      <c r="A20" s="21" t="n">
        <v>17</v>
      </c>
      <c r="B20" s="21" t="inlineStr">
        <is>
          <t>P004</t>
        </is>
      </c>
      <c r="C20" s="37" t="inlineStr">
        <is>
          <t>David Kim</t>
        </is>
      </c>
      <c r="D20" s="21" t="inlineStr">
        <is>
          <t>Pension</t>
        </is>
      </c>
      <c r="E20" s="21" t="inlineStr">
        <is>
          <t>Mar</t>
        </is>
      </c>
      <c r="F20" s="20" t="n">
        <v>2129.65</v>
      </c>
      <c r="G20" s="20" t="n">
        <v>0</v>
      </c>
      <c r="H20" s="20" t="n">
        <v>-2129.65</v>
      </c>
      <c r="I20" s="21" t="inlineStr">
        <is>
          <t>Missed</t>
        </is>
      </c>
      <c r="J20" s="21" t="inlineStr">
        <is>
          <t>EMP01</t>
        </is>
      </c>
      <c r="K20" s="21" t="inlineStr">
        <is>
          <t>Pending</t>
        </is>
      </c>
    </row>
    <row r="21">
      <c r="A21" s="21" t="n">
        <v>18</v>
      </c>
      <c r="B21" s="21" t="inlineStr">
        <is>
          <t>P004</t>
        </is>
      </c>
      <c r="C21" s="37" t="inlineStr">
        <is>
          <t>David Kim</t>
        </is>
      </c>
      <c r="D21" s="21" t="inlineStr">
        <is>
          <t>Pension</t>
        </is>
      </c>
      <c r="E21" s="21" t="inlineStr">
        <is>
          <t>May</t>
        </is>
      </c>
      <c r="F21" s="20" t="n">
        <v>2129.65</v>
      </c>
      <c r="G21" s="20" t="n">
        <v>0</v>
      </c>
      <c r="H21" s="20" t="n">
        <v>-2129.65</v>
      </c>
      <c r="I21" s="21" t="inlineStr">
        <is>
          <t>Missed</t>
        </is>
      </c>
      <c r="J21" s="21" t="inlineStr">
        <is>
          <t>EMP01</t>
        </is>
      </c>
      <c r="K21" s="21" t="inlineStr">
        <is>
          <t>Pending</t>
        </is>
      </c>
    </row>
    <row r="22">
      <c r="A22" s="21" t="n">
        <v>19</v>
      </c>
      <c r="B22" s="21" t="inlineStr">
        <is>
          <t>P004</t>
        </is>
      </c>
      <c r="C22" s="37" t="inlineStr">
        <is>
          <t>David Kim</t>
        </is>
      </c>
      <c r="D22" s="21" t="inlineStr">
        <is>
          <t>Pension</t>
        </is>
      </c>
      <c r="E22" s="21" t="inlineStr">
        <is>
          <t>Jul</t>
        </is>
      </c>
      <c r="F22" s="20" t="n">
        <v>2129.65</v>
      </c>
      <c r="G22" s="20" t="n">
        <v>2871.35</v>
      </c>
      <c r="H22" s="20" t="n">
        <v>741.7</v>
      </c>
      <c r="I22" s="21" t="inlineStr">
        <is>
          <t>Discrepancy</t>
        </is>
      </c>
      <c r="J22" s="21" t="inlineStr">
        <is>
          <t>EMP04</t>
        </is>
      </c>
      <c r="K22" s="21" t="inlineStr">
        <is>
          <t>Pending</t>
        </is>
      </c>
    </row>
    <row r="23">
      <c r="A23" s="21" t="n">
        <v>20</v>
      </c>
      <c r="B23" s="21" t="inlineStr">
        <is>
          <t>P004</t>
        </is>
      </c>
      <c r="C23" s="37" t="inlineStr">
        <is>
          <t>David Kim</t>
        </is>
      </c>
      <c r="D23" s="21" t="inlineStr">
        <is>
          <t>Pension</t>
        </is>
      </c>
      <c r="E23" s="21" t="inlineStr">
        <is>
          <t>Oct</t>
        </is>
      </c>
      <c r="F23" s="20" t="n">
        <v>2129.65</v>
      </c>
      <c r="G23" s="20" t="n">
        <v>0</v>
      </c>
      <c r="H23" s="20" t="n">
        <v>-2129.65</v>
      </c>
      <c r="I23" s="21" t="inlineStr">
        <is>
          <t>Missed</t>
        </is>
      </c>
      <c r="J23" s="21" t="inlineStr">
        <is>
          <t>EMP03</t>
        </is>
      </c>
      <c r="K23" s="21" t="inlineStr">
        <is>
          <t>Pending</t>
        </is>
      </c>
    </row>
    <row r="24">
      <c r="A24" s="19" t="n">
        <v>21</v>
      </c>
      <c r="B24" s="19" t="inlineStr">
        <is>
          <t>P005</t>
        </is>
      </c>
      <c r="C24" s="35" t="inlineStr">
        <is>
          <t>Linda Tremblay</t>
        </is>
      </c>
      <c r="D24" s="19" t="inlineStr">
        <is>
          <t>Allowance</t>
        </is>
      </c>
      <c r="E24" s="19" t="inlineStr">
        <is>
          <t>Mar</t>
        </is>
      </c>
      <c r="F24" s="36" t="n">
        <v>1322.1</v>
      </c>
      <c r="G24" s="36" t="n">
        <v>1322.1</v>
      </c>
      <c r="H24" s="36" t="n">
        <v>0</v>
      </c>
      <c r="I24" s="19" t="inlineStr">
        <is>
          <t>Late</t>
        </is>
      </c>
      <c r="J24" s="19" t="inlineStr">
        <is>
          <t>EMP04</t>
        </is>
      </c>
      <c r="K24" s="19" t="inlineStr">
        <is>
          <t>Pending</t>
        </is>
      </c>
    </row>
    <row r="25">
      <c r="A25" s="21" t="n">
        <v>22</v>
      </c>
      <c r="B25" s="21" t="inlineStr">
        <is>
          <t>P005</t>
        </is>
      </c>
      <c r="C25" s="37" t="inlineStr">
        <is>
          <t>Linda Tremblay</t>
        </is>
      </c>
      <c r="D25" s="21" t="inlineStr">
        <is>
          <t>Allowance</t>
        </is>
      </c>
      <c r="E25" s="21" t="inlineStr">
        <is>
          <t>May</t>
        </is>
      </c>
      <c r="F25" s="20" t="n">
        <v>1322.1</v>
      </c>
      <c r="G25" s="20" t="n">
        <v>0</v>
      </c>
      <c r="H25" s="20" t="n">
        <v>-1322.1</v>
      </c>
      <c r="I25" s="21" t="inlineStr">
        <is>
          <t>Missed</t>
        </is>
      </c>
      <c r="J25" s="21" t="inlineStr">
        <is>
          <t>EMP04</t>
        </is>
      </c>
      <c r="K25" s="21" t="inlineStr">
        <is>
          <t>Pending</t>
        </is>
      </c>
    </row>
    <row r="26">
      <c r="A26" s="18" t="n">
        <v>23</v>
      </c>
      <c r="B26" s="18" t="inlineStr">
        <is>
          <t>P005</t>
        </is>
      </c>
      <c r="C26" s="33" t="inlineStr">
        <is>
          <t>Linda Tremblay</t>
        </is>
      </c>
      <c r="D26" s="18" t="inlineStr">
        <is>
          <t>Allowance</t>
        </is>
      </c>
      <c r="E26" s="18" t="inlineStr">
        <is>
          <t>Jun</t>
        </is>
      </c>
      <c r="F26" s="34" t="n">
        <v>1322.1</v>
      </c>
      <c r="G26" s="34" t="n">
        <v>807.98</v>
      </c>
      <c r="H26" s="34" t="n">
        <v>-514.12</v>
      </c>
      <c r="I26" s="18" t="inlineStr">
        <is>
          <t>Under Review</t>
        </is>
      </c>
      <c r="J26" s="18" t="inlineStr">
        <is>
          <t>EMP02</t>
        </is>
      </c>
      <c r="K26" s="18" t="inlineStr">
        <is>
          <t>Pending</t>
        </is>
      </c>
    </row>
    <row r="27">
      <c r="A27" s="19" t="n">
        <v>24</v>
      </c>
      <c r="B27" s="19" t="inlineStr">
        <is>
          <t>P005</t>
        </is>
      </c>
      <c r="C27" s="35" t="inlineStr">
        <is>
          <t>Linda Tremblay</t>
        </is>
      </c>
      <c r="D27" s="19" t="inlineStr">
        <is>
          <t>Allowance</t>
        </is>
      </c>
      <c r="E27" s="19" t="inlineStr">
        <is>
          <t>Jul</t>
        </is>
      </c>
      <c r="F27" s="36" t="n">
        <v>1322.1</v>
      </c>
      <c r="G27" s="36" t="n">
        <v>1322.1</v>
      </c>
      <c r="H27" s="36" t="n">
        <v>0</v>
      </c>
      <c r="I27" s="19" t="inlineStr">
        <is>
          <t>Late</t>
        </is>
      </c>
      <c r="J27" s="19" t="inlineStr">
        <is>
          <t>EMP05</t>
        </is>
      </c>
      <c r="K27" s="19" t="inlineStr">
        <is>
          <t>Pending</t>
        </is>
      </c>
    </row>
    <row r="28">
      <c r="A28" s="21" t="n">
        <v>25</v>
      </c>
      <c r="B28" s="21" t="inlineStr">
        <is>
          <t>P006</t>
        </is>
      </c>
      <c r="C28" s="37" t="inlineStr">
        <is>
          <t>James Wilson</t>
        </is>
      </c>
      <c r="D28" s="21" t="inlineStr">
        <is>
          <t>Pension</t>
        </is>
      </c>
      <c r="E28" s="21" t="inlineStr">
        <is>
          <t>Feb</t>
        </is>
      </c>
      <c r="F28" s="20" t="n">
        <v>2269.75</v>
      </c>
      <c r="G28" s="20" t="n">
        <v>2600.19</v>
      </c>
      <c r="H28" s="20" t="n">
        <v>330.44</v>
      </c>
      <c r="I28" s="21" t="inlineStr">
        <is>
          <t>Discrepancy</t>
        </is>
      </c>
      <c r="J28" s="21" t="inlineStr">
        <is>
          <t>EMP03</t>
        </is>
      </c>
      <c r="K28" s="21" t="inlineStr">
        <is>
          <t>Pending</t>
        </is>
      </c>
    </row>
    <row r="29">
      <c r="A29" s="19" t="n">
        <v>26</v>
      </c>
      <c r="B29" s="19" t="inlineStr">
        <is>
          <t>P006</t>
        </is>
      </c>
      <c r="C29" s="35" t="inlineStr">
        <is>
          <t>James Wilson</t>
        </is>
      </c>
      <c r="D29" s="19" t="inlineStr">
        <is>
          <t>Pension</t>
        </is>
      </c>
      <c r="E29" s="19" t="inlineStr">
        <is>
          <t>Apr</t>
        </is>
      </c>
      <c r="F29" s="36" t="n">
        <v>2269.75</v>
      </c>
      <c r="G29" s="36" t="n">
        <v>2269.75</v>
      </c>
      <c r="H29" s="36" t="n">
        <v>0</v>
      </c>
      <c r="I29" s="19" t="inlineStr">
        <is>
          <t>Late</t>
        </is>
      </c>
      <c r="J29" s="19" t="inlineStr">
        <is>
          <t>EMP05</t>
        </is>
      </c>
      <c r="K29" s="19" t="inlineStr">
        <is>
          <t>Pending</t>
        </is>
      </c>
    </row>
    <row r="30">
      <c r="A30" s="21" t="n">
        <v>27</v>
      </c>
      <c r="B30" s="21" t="inlineStr">
        <is>
          <t>P006</t>
        </is>
      </c>
      <c r="C30" s="37" t="inlineStr">
        <is>
          <t>James Wilson</t>
        </is>
      </c>
      <c r="D30" s="21" t="inlineStr">
        <is>
          <t>Pension</t>
        </is>
      </c>
      <c r="E30" s="21" t="inlineStr">
        <is>
          <t>Jun</t>
        </is>
      </c>
      <c r="F30" s="20" t="n">
        <v>2269.75</v>
      </c>
      <c r="G30" s="20" t="n">
        <v>2677.52</v>
      </c>
      <c r="H30" s="20" t="n">
        <v>407.77</v>
      </c>
      <c r="I30" s="21" t="inlineStr">
        <is>
          <t>Discrepancy</t>
        </is>
      </c>
      <c r="J30" s="21" t="inlineStr">
        <is>
          <t>EMP02</t>
        </is>
      </c>
      <c r="K30" s="21" t="inlineStr">
        <is>
          <t>Pending</t>
        </is>
      </c>
    </row>
    <row r="31">
      <c r="A31" s="18" t="n">
        <v>28</v>
      </c>
      <c r="B31" s="18" t="inlineStr">
        <is>
          <t>P006</t>
        </is>
      </c>
      <c r="C31" s="33" t="inlineStr">
        <is>
          <t>James Wilson</t>
        </is>
      </c>
      <c r="D31" s="18" t="inlineStr">
        <is>
          <t>Pension</t>
        </is>
      </c>
      <c r="E31" s="18" t="inlineStr">
        <is>
          <t>Jul</t>
        </is>
      </c>
      <c r="F31" s="34" t="n">
        <v>2269.75</v>
      </c>
      <c r="G31" s="34" t="n">
        <v>1997.58</v>
      </c>
      <c r="H31" s="34" t="n">
        <v>-272.17</v>
      </c>
      <c r="I31" s="18" t="inlineStr">
        <is>
          <t>Under Review</t>
        </is>
      </c>
      <c r="J31" s="18" t="inlineStr">
        <is>
          <t>EMP01</t>
        </is>
      </c>
      <c r="K31" s="18" t="inlineStr">
        <is>
          <t>Pending</t>
        </is>
      </c>
    </row>
    <row r="32">
      <c r="A32" s="21" t="n">
        <v>29</v>
      </c>
      <c r="B32" s="21" t="inlineStr">
        <is>
          <t>P006</t>
        </is>
      </c>
      <c r="C32" s="37" t="inlineStr">
        <is>
          <t>James Wilson</t>
        </is>
      </c>
      <c r="D32" s="21" t="inlineStr">
        <is>
          <t>Pension</t>
        </is>
      </c>
      <c r="E32" s="21" t="inlineStr">
        <is>
          <t>Aug</t>
        </is>
      </c>
      <c r="F32" s="20" t="n">
        <v>2269.75</v>
      </c>
      <c r="G32" s="20" t="n">
        <v>0</v>
      </c>
      <c r="H32" s="20" t="n">
        <v>-2269.75</v>
      </c>
      <c r="I32" s="21" t="inlineStr">
        <is>
          <t>Missed</t>
        </is>
      </c>
      <c r="J32" s="21" t="inlineStr">
        <is>
          <t>EMP05</t>
        </is>
      </c>
      <c r="K32" s="21" t="inlineStr">
        <is>
          <t>Pending</t>
        </is>
      </c>
    </row>
    <row r="33">
      <c r="A33" s="19" t="n">
        <v>30</v>
      </c>
      <c r="B33" s="19" t="inlineStr">
        <is>
          <t>P006</t>
        </is>
      </c>
      <c r="C33" s="35" t="inlineStr">
        <is>
          <t>James Wilson</t>
        </is>
      </c>
      <c r="D33" s="19" t="inlineStr">
        <is>
          <t>Pension</t>
        </is>
      </c>
      <c r="E33" s="19" t="inlineStr">
        <is>
          <t>Sep</t>
        </is>
      </c>
      <c r="F33" s="36" t="n">
        <v>2269.75</v>
      </c>
      <c r="G33" s="36" t="n">
        <v>2269.75</v>
      </c>
      <c r="H33" s="36" t="n">
        <v>0</v>
      </c>
      <c r="I33" s="19" t="inlineStr">
        <is>
          <t>Late</t>
        </is>
      </c>
      <c r="J33" s="19" t="inlineStr">
        <is>
          <t>EMP04</t>
        </is>
      </c>
      <c r="K33" s="19" t="inlineStr">
        <is>
          <t>Pending</t>
        </is>
      </c>
    </row>
    <row r="34">
      <c r="A34" s="19" t="n">
        <v>31</v>
      </c>
      <c r="B34" s="19" t="inlineStr">
        <is>
          <t>P006</t>
        </is>
      </c>
      <c r="C34" s="35" t="inlineStr">
        <is>
          <t>James Wilson</t>
        </is>
      </c>
      <c r="D34" s="19" t="inlineStr">
        <is>
          <t>Pension</t>
        </is>
      </c>
      <c r="E34" s="19" t="inlineStr">
        <is>
          <t>Oct</t>
        </is>
      </c>
      <c r="F34" s="36" t="n">
        <v>2269.75</v>
      </c>
      <c r="G34" s="36" t="n">
        <v>2269.75</v>
      </c>
      <c r="H34" s="36" t="n">
        <v>0</v>
      </c>
      <c r="I34" s="19" t="inlineStr">
        <is>
          <t>Late</t>
        </is>
      </c>
      <c r="J34" s="19" t="inlineStr">
        <is>
          <t>EMP04</t>
        </is>
      </c>
      <c r="K34" s="19" t="inlineStr">
        <is>
          <t>Pending</t>
        </is>
      </c>
    </row>
    <row r="35">
      <c r="A35" s="19" t="n">
        <v>32</v>
      </c>
      <c r="B35" s="19" t="inlineStr">
        <is>
          <t>P006</t>
        </is>
      </c>
      <c r="C35" s="35" t="inlineStr">
        <is>
          <t>James Wilson</t>
        </is>
      </c>
      <c r="D35" s="19" t="inlineStr">
        <is>
          <t>Pension</t>
        </is>
      </c>
      <c r="E35" s="19" t="inlineStr">
        <is>
          <t>Dec</t>
        </is>
      </c>
      <c r="F35" s="36" t="n">
        <v>2269.75</v>
      </c>
      <c r="G35" s="36" t="n">
        <v>2269.75</v>
      </c>
      <c r="H35" s="36" t="n">
        <v>0</v>
      </c>
      <c r="I35" s="19" t="inlineStr">
        <is>
          <t>Late</t>
        </is>
      </c>
      <c r="J35" s="19" t="inlineStr">
        <is>
          <t>EMP01</t>
        </is>
      </c>
      <c r="K35" s="19" t="inlineStr">
        <is>
          <t>Pending</t>
        </is>
      </c>
    </row>
    <row r="36">
      <c r="A36" s="21" t="n">
        <v>33</v>
      </c>
      <c r="B36" s="21" t="inlineStr">
        <is>
          <t>P007</t>
        </is>
      </c>
      <c r="C36" s="37" t="inlineStr">
        <is>
          <t>Patricia Moore</t>
        </is>
      </c>
      <c r="D36" s="21" t="inlineStr">
        <is>
          <t>Allowance</t>
        </is>
      </c>
      <c r="E36" s="21" t="inlineStr">
        <is>
          <t>Aug</t>
        </is>
      </c>
      <c r="F36" s="20" t="n">
        <v>1360.28</v>
      </c>
      <c r="G36" s="20" t="n">
        <v>1504.98</v>
      </c>
      <c r="H36" s="20" t="n">
        <v>144.7</v>
      </c>
      <c r="I36" s="21" t="inlineStr">
        <is>
          <t>Discrepancy</t>
        </is>
      </c>
      <c r="J36" s="21" t="inlineStr">
        <is>
          <t>EMP02</t>
        </is>
      </c>
      <c r="K36" s="21" t="inlineStr">
        <is>
          <t>Pending</t>
        </is>
      </c>
    </row>
    <row r="37">
      <c r="A37" s="21" t="n">
        <v>34</v>
      </c>
      <c r="B37" s="21" t="inlineStr">
        <is>
          <t>P007</t>
        </is>
      </c>
      <c r="C37" s="37" t="inlineStr">
        <is>
          <t>Patricia Moore</t>
        </is>
      </c>
      <c r="D37" s="21" t="inlineStr">
        <is>
          <t>Allowance</t>
        </is>
      </c>
      <c r="E37" s="21" t="inlineStr">
        <is>
          <t>Sep</t>
        </is>
      </c>
      <c r="F37" s="20" t="n">
        <v>1360.28</v>
      </c>
      <c r="G37" s="20" t="n">
        <v>1624.25</v>
      </c>
      <c r="H37" s="20" t="n">
        <v>263.97</v>
      </c>
      <c r="I37" s="21" t="inlineStr">
        <is>
          <t>Discrepancy</t>
        </is>
      </c>
      <c r="J37" s="21" t="inlineStr">
        <is>
          <t>EMP03</t>
        </is>
      </c>
      <c r="K37" s="21" t="inlineStr">
        <is>
          <t>Pending</t>
        </is>
      </c>
    </row>
    <row r="38">
      <c r="A38" s="21" t="n">
        <v>35</v>
      </c>
      <c r="B38" s="21" t="inlineStr">
        <is>
          <t>P008</t>
        </is>
      </c>
      <c r="C38" s="37" t="inlineStr">
        <is>
          <t>Michael Scott</t>
        </is>
      </c>
      <c r="D38" s="21" t="inlineStr">
        <is>
          <t>Pension</t>
        </is>
      </c>
      <c r="E38" s="21" t="inlineStr">
        <is>
          <t>Jan</t>
        </is>
      </c>
      <c r="F38" s="20" t="n">
        <v>2353.53</v>
      </c>
      <c r="G38" s="20" t="n">
        <v>0</v>
      </c>
      <c r="H38" s="20" t="n">
        <v>-2353.53</v>
      </c>
      <c r="I38" s="21" t="inlineStr">
        <is>
          <t>Missed</t>
        </is>
      </c>
      <c r="J38" s="21" t="inlineStr">
        <is>
          <t>EMP04</t>
        </is>
      </c>
      <c r="K38" s="21" t="inlineStr">
        <is>
          <t>Pending</t>
        </is>
      </c>
    </row>
    <row r="39">
      <c r="A39" s="21" t="n">
        <v>36</v>
      </c>
      <c r="B39" s="21" t="inlineStr">
        <is>
          <t>P008</t>
        </is>
      </c>
      <c r="C39" s="37" t="inlineStr">
        <is>
          <t>Michael Scott</t>
        </is>
      </c>
      <c r="D39" s="21" t="inlineStr">
        <is>
          <t>Pension</t>
        </is>
      </c>
      <c r="E39" s="21" t="inlineStr">
        <is>
          <t>Feb</t>
        </is>
      </c>
      <c r="F39" s="20" t="n">
        <v>2353.53</v>
      </c>
      <c r="G39" s="20" t="n">
        <v>0</v>
      </c>
      <c r="H39" s="20" t="n">
        <v>-2353.53</v>
      </c>
      <c r="I39" s="21" t="inlineStr">
        <is>
          <t>Missed</t>
        </is>
      </c>
      <c r="J39" s="21" t="inlineStr">
        <is>
          <t>EMP03</t>
        </is>
      </c>
      <c r="K39" s="21" t="inlineStr">
        <is>
          <t>Pending</t>
        </is>
      </c>
    </row>
    <row r="40">
      <c r="A40" s="18" t="n">
        <v>37</v>
      </c>
      <c r="B40" s="18" t="inlineStr">
        <is>
          <t>P008</t>
        </is>
      </c>
      <c r="C40" s="33" t="inlineStr">
        <is>
          <t>Michael Scott</t>
        </is>
      </c>
      <c r="D40" s="18" t="inlineStr">
        <is>
          <t>Pension</t>
        </is>
      </c>
      <c r="E40" s="18" t="inlineStr">
        <is>
          <t>Aug</t>
        </is>
      </c>
      <c r="F40" s="34" t="n">
        <v>2353.53</v>
      </c>
      <c r="G40" s="34" t="n">
        <v>1517.32</v>
      </c>
      <c r="H40" s="34" t="n">
        <v>-836.21</v>
      </c>
      <c r="I40" s="18" t="inlineStr">
        <is>
          <t>Under Review</t>
        </is>
      </c>
      <c r="J40" s="18" t="inlineStr">
        <is>
          <t>EMP05</t>
        </is>
      </c>
      <c r="K40" s="18" t="inlineStr">
        <is>
          <t>Pending</t>
        </is>
      </c>
    </row>
    <row r="41">
      <c r="A41" s="18" t="n">
        <v>38</v>
      </c>
      <c r="B41" s="18" t="inlineStr">
        <is>
          <t>P009</t>
        </is>
      </c>
      <c r="C41" s="33" t="inlineStr">
        <is>
          <t>Barbara Lee</t>
        </is>
      </c>
      <c r="D41" s="18" t="inlineStr">
        <is>
          <t>Pension</t>
        </is>
      </c>
      <c r="E41" s="18" t="inlineStr">
        <is>
          <t>Feb</t>
        </is>
      </c>
      <c r="F41" s="34" t="n">
        <v>2136.51</v>
      </c>
      <c r="G41" s="34" t="n">
        <v>1734.04</v>
      </c>
      <c r="H41" s="34" t="n">
        <v>-402.47</v>
      </c>
      <c r="I41" s="18" t="inlineStr">
        <is>
          <t>Under Review</t>
        </is>
      </c>
      <c r="J41" s="18" t="inlineStr">
        <is>
          <t>EMP03</t>
        </is>
      </c>
      <c r="K41" s="18" t="inlineStr">
        <is>
          <t>Pending</t>
        </is>
      </c>
    </row>
    <row r="42">
      <c r="A42" s="19" t="n">
        <v>39</v>
      </c>
      <c r="B42" s="19" t="inlineStr">
        <is>
          <t>P009</t>
        </is>
      </c>
      <c r="C42" s="35" t="inlineStr">
        <is>
          <t>Barbara Lee</t>
        </is>
      </c>
      <c r="D42" s="19" t="inlineStr">
        <is>
          <t>Pension</t>
        </is>
      </c>
      <c r="E42" s="19" t="inlineStr">
        <is>
          <t>May</t>
        </is>
      </c>
      <c r="F42" s="36" t="n">
        <v>2136.51</v>
      </c>
      <c r="G42" s="36" t="n">
        <v>2136.51</v>
      </c>
      <c r="H42" s="36" t="n">
        <v>0</v>
      </c>
      <c r="I42" s="19" t="inlineStr">
        <is>
          <t>Late</t>
        </is>
      </c>
      <c r="J42" s="19" t="inlineStr">
        <is>
          <t>EMP02</t>
        </is>
      </c>
      <c r="K42" s="19" t="inlineStr">
        <is>
          <t>Pending</t>
        </is>
      </c>
    </row>
    <row r="43">
      <c r="A43" s="21" t="n">
        <v>40</v>
      </c>
      <c r="B43" s="21" t="inlineStr">
        <is>
          <t>P009</t>
        </is>
      </c>
      <c r="C43" s="37" t="inlineStr">
        <is>
          <t>Barbara Lee</t>
        </is>
      </c>
      <c r="D43" s="21" t="inlineStr">
        <is>
          <t>Pension</t>
        </is>
      </c>
      <c r="E43" s="21" t="inlineStr">
        <is>
          <t>Jul</t>
        </is>
      </c>
      <c r="F43" s="20" t="n">
        <v>2136.51</v>
      </c>
      <c r="G43" s="20" t="n">
        <v>0</v>
      </c>
      <c r="H43" s="20" t="n">
        <v>-2136.51</v>
      </c>
      <c r="I43" s="21" t="inlineStr">
        <is>
          <t>Missed</t>
        </is>
      </c>
      <c r="J43" s="21" t="inlineStr">
        <is>
          <t>EMP03</t>
        </is>
      </c>
      <c r="K43" s="21" t="inlineStr">
        <is>
          <t>Pending</t>
        </is>
      </c>
    </row>
    <row r="44">
      <c r="A44" s="21" t="n">
        <v>41</v>
      </c>
      <c r="B44" s="21" t="inlineStr">
        <is>
          <t>P009</t>
        </is>
      </c>
      <c r="C44" s="37" t="inlineStr">
        <is>
          <t>Barbara Lee</t>
        </is>
      </c>
      <c r="D44" s="21" t="inlineStr">
        <is>
          <t>Pension</t>
        </is>
      </c>
      <c r="E44" s="21" t="inlineStr">
        <is>
          <t>Nov</t>
        </is>
      </c>
      <c r="F44" s="20" t="n">
        <v>2136.51</v>
      </c>
      <c r="G44" s="20" t="n">
        <v>2861.06</v>
      </c>
      <c r="H44" s="20" t="n">
        <v>724.55</v>
      </c>
      <c r="I44" s="21" t="inlineStr">
        <is>
          <t>Discrepancy</t>
        </is>
      </c>
      <c r="J44" s="21" t="inlineStr">
        <is>
          <t>EMP04</t>
        </is>
      </c>
      <c r="K44" s="21" t="inlineStr">
        <is>
          <t>Pending</t>
        </is>
      </c>
    </row>
    <row r="45">
      <c r="A45" s="21" t="n">
        <v>42</v>
      </c>
      <c r="B45" s="21" t="inlineStr">
        <is>
          <t>P010</t>
        </is>
      </c>
      <c r="C45" s="37" t="inlineStr">
        <is>
          <t>William Chen</t>
        </is>
      </c>
      <c r="D45" s="21" t="inlineStr">
        <is>
          <t>Allowance</t>
        </is>
      </c>
      <c r="E45" s="21" t="inlineStr">
        <is>
          <t>Feb</t>
        </is>
      </c>
      <c r="F45" s="20" t="n">
        <v>1328.36</v>
      </c>
      <c r="G45" s="20" t="n">
        <v>0</v>
      </c>
      <c r="H45" s="20" t="n">
        <v>-1328.36</v>
      </c>
      <c r="I45" s="21" t="inlineStr">
        <is>
          <t>Missed</t>
        </is>
      </c>
      <c r="J45" s="21" t="inlineStr">
        <is>
          <t>EMP02</t>
        </is>
      </c>
      <c r="K45" s="21" t="inlineStr">
        <is>
          <t>Pending</t>
        </is>
      </c>
    </row>
    <row r="46">
      <c r="A46" s="21" t="n">
        <v>43</v>
      </c>
      <c r="B46" s="21" t="inlineStr">
        <is>
          <t>P010</t>
        </is>
      </c>
      <c r="C46" s="37" t="inlineStr">
        <is>
          <t>William Chen</t>
        </is>
      </c>
      <c r="D46" s="21" t="inlineStr">
        <is>
          <t>Allowance</t>
        </is>
      </c>
      <c r="E46" s="21" t="inlineStr">
        <is>
          <t>Apr</t>
        </is>
      </c>
      <c r="F46" s="20" t="n">
        <v>1328.36</v>
      </c>
      <c r="G46" s="20" t="n">
        <v>0</v>
      </c>
      <c r="H46" s="20" t="n">
        <v>-1328.36</v>
      </c>
      <c r="I46" s="21" t="inlineStr">
        <is>
          <t>Missed</t>
        </is>
      </c>
      <c r="J46" s="21" t="inlineStr">
        <is>
          <t>EMP05</t>
        </is>
      </c>
      <c r="K46" s="21" t="inlineStr">
        <is>
          <t>Pending</t>
        </is>
      </c>
    </row>
    <row r="47">
      <c r="A47" s="21" t="n">
        <v>44</v>
      </c>
      <c r="B47" s="21" t="inlineStr">
        <is>
          <t>P010</t>
        </is>
      </c>
      <c r="C47" s="37" t="inlineStr">
        <is>
          <t>William Chen</t>
        </is>
      </c>
      <c r="D47" s="21" t="inlineStr">
        <is>
          <t>Allowance</t>
        </is>
      </c>
      <c r="E47" s="21" t="inlineStr">
        <is>
          <t>May</t>
        </is>
      </c>
      <c r="F47" s="20" t="n">
        <v>1328.36</v>
      </c>
      <c r="G47" s="20" t="n">
        <v>1740.3</v>
      </c>
      <c r="H47" s="20" t="n">
        <v>411.94</v>
      </c>
      <c r="I47" s="21" t="inlineStr">
        <is>
          <t>Discrepancy</t>
        </is>
      </c>
      <c r="J47" s="21" t="inlineStr">
        <is>
          <t>EMP04</t>
        </is>
      </c>
      <c r="K47" s="21" t="inlineStr">
        <is>
          <t>Pending</t>
        </is>
      </c>
    </row>
    <row r="48">
      <c r="A48" s="19" t="n">
        <v>45</v>
      </c>
      <c r="B48" s="19" t="inlineStr">
        <is>
          <t>P010</t>
        </is>
      </c>
      <c r="C48" s="35" t="inlineStr">
        <is>
          <t>William Chen</t>
        </is>
      </c>
      <c r="D48" s="19" t="inlineStr">
        <is>
          <t>Allowance</t>
        </is>
      </c>
      <c r="E48" s="19" t="inlineStr">
        <is>
          <t>Nov</t>
        </is>
      </c>
      <c r="F48" s="36" t="n">
        <v>1328.36</v>
      </c>
      <c r="G48" s="36" t="n">
        <v>1328.36</v>
      </c>
      <c r="H48" s="36" t="n">
        <v>0</v>
      </c>
      <c r="I48" s="19" t="inlineStr">
        <is>
          <t>Late</t>
        </is>
      </c>
      <c r="J48" s="19" t="inlineStr">
        <is>
          <t>EMP04</t>
        </is>
      </c>
      <c r="K48" s="19" t="inlineStr">
        <is>
          <t>Pending</t>
        </is>
      </c>
    </row>
    <row r="49">
      <c r="A49" s="19" t="n">
        <v>46</v>
      </c>
      <c r="B49" s="19" t="inlineStr">
        <is>
          <t>P010</t>
        </is>
      </c>
      <c r="C49" s="35" t="inlineStr">
        <is>
          <t>William Chen</t>
        </is>
      </c>
      <c r="D49" s="19" t="inlineStr">
        <is>
          <t>Allowance</t>
        </is>
      </c>
      <c r="E49" s="19" t="inlineStr">
        <is>
          <t>Dec</t>
        </is>
      </c>
      <c r="F49" s="36" t="n">
        <v>1328.36</v>
      </c>
      <c r="G49" s="36" t="n">
        <v>1328.36</v>
      </c>
      <c r="H49" s="36" t="n">
        <v>0</v>
      </c>
      <c r="I49" s="19" t="inlineStr">
        <is>
          <t>Late</t>
        </is>
      </c>
      <c r="J49" s="19" t="inlineStr">
        <is>
          <t>EMP01</t>
        </is>
      </c>
      <c r="K49" s="19" t="inlineStr">
        <is>
          <t>Pending</t>
        </is>
      </c>
    </row>
    <row r="50">
      <c r="A50" s="21" t="n">
        <v>47</v>
      </c>
      <c r="B50" s="21" t="inlineStr">
        <is>
          <t>P011</t>
        </is>
      </c>
      <c r="C50" s="37" t="inlineStr">
        <is>
          <t>Elizabeth Brown</t>
        </is>
      </c>
      <c r="D50" s="21" t="inlineStr">
        <is>
          <t>Pension</t>
        </is>
      </c>
      <c r="E50" s="21" t="inlineStr">
        <is>
          <t>Mar</t>
        </is>
      </c>
      <c r="F50" s="20" t="n">
        <v>2298.91</v>
      </c>
      <c r="G50" s="20" t="n">
        <v>3048.84</v>
      </c>
      <c r="H50" s="20" t="n">
        <v>749.9299999999999</v>
      </c>
      <c r="I50" s="21" t="inlineStr">
        <is>
          <t>Discrepancy</t>
        </is>
      </c>
      <c r="J50" s="21" t="inlineStr">
        <is>
          <t>EMP02</t>
        </is>
      </c>
      <c r="K50" s="21" t="inlineStr">
        <is>
          <t>Pending</t>
        </is>
      </c>
    </row>
    <row r="51">
      <c r="A51" s="21" t="n">
        <v>48</v>
      </c>
      <c r="B51" s="21" t="inlineStr">
        <is>
          <t>P011</t>
        </is>
      </c>
      <c r="C51" s="37" t="inlineStr">
        <is>
          <t>Elizabeth Brown</t>
        </is>
      </c>
      <c r="D51" s="21" t="inlineStr">
        <is>
          <t>Pension</t>
        </is>
      </c>
      <c r="E51" s="21" t="inlineStr">
        <is>
          <t>Apr</t>
        </is>
      </c>
      <c r="F51" s="20" t="n">
        <v>2298.91</v>
      </c>
      <c r="G51" s="20" t="n">
        <v>3003.82</v>
      </c>
      <c r="H51" s="20" t="n">
        <v>704.91</v>
      </c>
      <c r="I51" s="21" t="inlineStr">
        <is>
          <t>Discrepancy</t>
        </is>
      </c>
      <c r="J51" s="21" t="inlineStr">
        <is>
          <t>EMP04</t>
        </is>
      </c>
      <c r="K51" s="21" t="inlineStr">
        <is>
          <t>Pending</t>
        </is>
      </c>
    </row>
    <row r="52">
      <c r="A52" s="18" t="n">
        <v>49</v>
      </c>
      <c r="B52" s="18" t="inlineStr">
        <is>
          <t>P011</t>
        </is>
      </c>
      <c r="C52" s="33" t="inlineStr">
        <is>
          <t>Elizabeth Brown</t>
        </is>
      </c>
      <c r="D52" s="18" t="inlineStr">
        <is>
          <t>Pension</t>
        </is>
      </c>
      <c r="E52" s="18" t="inlineStr">
        <is>
          <t>Jun</t>
        </is>
      </c>
      <c r="F52" s="34" t="n">
        <v>2298.91</v>
      </c>
      <c r="G52" s="34" t="n">
        <v>1653.64</v>
      </c>
      <c r="H52" s="34" t="n">
        <v>-645.27</v>
      </c>
      <c r="I52" s="18" t="inlineStr">
        <is>
          <t>Under Review</t>
        </is>
      </c>
      <c r="J52" s="18" t="inlineStr">
        <is>
          <t>EMP01</t>
        </is>
      </c>
      <c r="K52" s="18" t="inlineStr">
        <is>
          <t>Pending</t>
        </is>
      </c>
    </row>
    <row r="53">
      <c r="A53" s="18" t="n">
        <v>50</v>
      </c>
      <c r="B53" s="18" t="inlineStr">
        <is>
          <t>P011</t>
        </is>
      </c>
      <c r="C53" s="33" t="inlineStr">
        <is>
          <t>Elizabeth Brown</t>
        </is>
      </c>
      <c r="D53" s="18" t="inlineStr">
        <is>
          <t>Pension</t>
        </is>
      </c>
      <c r="E53" s="18" t="inlineStr">
        <is>
          <t>Aug</t>
        </is>
      </c>
      <c r="F53" s="34" t="n">
        <v>2298.91</v>
      </c>
      <c r="G53" s="34" t="n">
        <v>1838.66</v>
      </c>
      <c r="H53" s="34" t="n">
        <v>-460.25</v>
      </c>
      <c r="I53" s="18" t="inlineStr">
        <is>
          <t>Under Review</t>
        </is>
      </c>
      <c r="J53" s="18" t="inlineStr">
        <is>
          <t>EMP02</t>
        </is>
      </c>
      <c r="K53" s="18" t="inlineStr">
        <is>
          <t>Pending</t>
        </is>
      </c>
    </row>
    <row r="54">
      <c r="A54" s="19" t="n">
        <v>51</v>
      </c>
      <c r="B54" s="19" t="inlineStr">
        <is>
          <t>P011</t>
        </is>
      </c>
      <c r="C54" s="35" t="inlineStr">
        <is>
          <t>Elizabeth Brown</t>
        </is>
      </c>
      <c r="D54" s="19" t="inlineStr">
        <is>
          <t>Pension</t>
        </is>
      </c>
      <c r="E54" s="19" t="inlineStr">
        <is>
          <t>Sep</t>
        </is>
      </c>
      <c r="F54" s="36" t="n">
        <v>2298.91</v>
      </c>
      <c r="G54" s="36" t="n">
        <v>2298.91</v>
      </c>
      <c r="H54" s="36" t="n">
        <v>0</v>
      </c>
      <c r="I54" s="19" t="inlineStr">
        <is>
          <t>Late</t>
        </is>
      </c>
      <c r="J54" s="19" t="inlineStr">
        <is>
          <t>EMP02</t>
        </is>
      </c>
      <c r="K54" s="19" t="inlineStr">
        <is>
          <t>Pending</t>
        </is>
      </c>
    </row>
    <row r="55">
      <c r="A55" s="21" t="n">
        <v>52</v>
      </c>
      <c r="B55" s="21" t="inlineStr">
        <is>
          <t>P012</t>
        </is>
      </c>
      <c r="C55" s="37" t="inlineStr">
        <is>
          <t>Richard Davis</t>
        </is>
      </c>
      <c r="D55" s="21" t="inlineStr">
        <is>
          <t>Allowance</t>
        </is>
      </c>
      <c r="E55" s="21" t="inlineStr">
        <is>
          <t>Jan</t>
        </is>
      </c>
      <c r="F55" s="20" t="n">
        <v>1374.76</v>
      </c>
      <c r="G55" s="20" t="n">
        <v>1624.28</v>
      </c>
      <c r="H55" s="20" t="n">
        <v>249.52</v>
      </c>
      <c r="I55" s="21" t="inlineStr">
        <is>
          <t>Discrepancy</t>
        </is>
      </c>
      <c r="J55" s="21" t="inlineStr">
        <is>
          <t>EMP05</t>
        </is>
      </c>
      <c r="K55" s="21" t="inlineStr">
        <is>
          <t>Pending</t>
        </is>
      </c>
    </row>
    <row r="56">
      <c r="A56" s="19" t="n">
        <v>53</v>
      </c>
      <c r="B56" s="19" t="inlineStr">
        <is>
          <t>P012</t>
        </is>
      </c>
      <c r="C56" s="35" t="inlineStr">
        <is>
          <t>Richard Davis</t>
        </is>
      </c>
      <c r="D56" s="19" t="inlineStr">
        <is>
          <t>Allowance</t>
        </is>
      </c>
      <c r="E56" s="19" t="inlineStr">
        <is>
          <t>Feb</t>
        </is>
      </c>
      <c r="F56" s="36" t="n">
        <v>1374.76</v>
      </c>
      <c r="G56" s="36" t="n">
        <v>1374.76</v>
      </c>
      <c r="H56" s="36" t="n">
        <v>0</v>
      </c>
      <c r="I56" s="19" t="inlineStr">
        <is>
          <t>Late</t>
        </is>
      </c>
      <c r="J56" s="19" t="inlineStr">
        <is>
          <t>EMP02</t>
        </is>
      </c>
      <c r="K56" s="19" t="inlineStr">
        <is>
          <t>Pending</t>
        </is>
      </c>
    </row>
    <row r="57">
      <c r="A57" s="21" t="n">
        <v>54</v>
      </c>
      <c r="B57" s="21" t="inlineStr">
        <is>
          <t>P012</t>
        </is>
      </c>
      <c r="C57" s="37" t="inlineStr">
        <is>
          <t>Richard Davis</t>
        </is>
      </c>
      <c r="D57" s="21" t="inlineStr">
        <is>
          <t>Allowance</t>
        </is>
      </c>
      <c r="E57" s="21" t="inlineStr">
        <is>
          <t>Apr</t>
        </is>
      </c>
      <c r="F57" s="20" t="n">
        <v>1374.76</v>
      </c>
      <c r="G57" s="20" t="n">
        <v>0</v>
      </c>
      <c r="H57" s="20" t="n">
        <v>-1374.76</v>
      </c>
      <c r="I57" s="21" t="inlineStr">
        <is>
          <t>Missed</t>
        </is>
      </c>
      <c r="J57" s="21" t="inlineStr">
        <is>
          <t>EMP05</t>
        </is>
      </c>
      <c r="K57" s="21" t="inlineStr">
        <is>
          <t>Pending</t>
        </is>
      </c>
    </row>
    <row r="58">
      <c r="A58" s="18" t="n">
        <v>55</v>
      </c>
      <c r="B58" s="18" t="inlineStr">
        <is>
          <t>P012</t>
        </is>
      </c>
      <c r="C58" s="33" t="inlineStr">
        <is>
          <t>Richard Davis</t>
        </is>
      </c>
      <c r="D58" s="18" t="inlineStr">
        <is>
          <t>Allowance</t>
        </is>
      </c>
      <c r="E58" s="18" t="inlineStr">
        <is>
          <t>May</t>
        </is>
      </c>
      <c r="F58" s="34" t="n">
        <v>1374.76</v>
      </c>
      <c r="G58" s="34" t="n">
        <v>918.6900000000001</v>
      </c>
      <c r="H58" s="34" t="n">
        <v>-456.07</v>
      </c>
      <c r="I58" s="18" t="inlineStr">
        <is>
          <t>Under Review</t>
        </is>
      </c>
      <c r="J58" s="18" t="inlineStr">
        <is>
          <t>EMP05</t>
        </is>
      </c>
      <c r="K58" s="18" t="inlineStr">
        <is>
          <t>Pending</t>
        </is>
      </c>
    </row>
    <row r="59">
      <c r="A59" s="18" t="n">
        <v>56</v>
      </c>
      <c r="B59" s="18" t="inlineStr">
        <is>
          <t>P012</t>
        </is>
      </c>
      <c r="C59" s="33" t="inlineStr">
        <is>
          <t>Richard Davis</t>
        </is>
      </c>
      <c r="D59" s="18" t="inlineStr">
        <is>
          <t>Allowance</t>
        </is>
      </c>
      <c r="E59" s="18" t="inlineStr">
        <is>
          <t>Aug</t>
        </is>
      </c>
      <c r="F59" s="34" t="n">
        <v>1374.76</v>
      </c>
      <c r="G59" s="34" t="n">
        <v>697.67</v>
      </c>
      <c r="H59" s="34" t="n">
        <v>-677.09</v>
      </c>
      <c r="I59" s="18" t="inlineStr">
        <is>
          <t>Under Review</t>
        </is>
      </c>
      <c r="J59" s="18" t="inlineStr">
        <is>
          <t>EMP04</t>
        </is>
      </c>
      <c r="K59" s="18" t="inlineStr">
        <is>
          <t>Pending</t>
        </is>
      </c>
    </row>
    <row r="60">
      <c r="A60" s="21" t="n">
        <v>57</v>
      </c>
      <c r="B60" s="21" t="inlineStr">
        <is>
          <t>P012</t>
        </is>
      </c>
      <c r="C60" s="37" t="inlineStr">
        <is>
          <t>Richard Davis</t>
        </is>
      </c>
      <c r="D60" s="21" t="inlineStr">
        <is>
          <t>Allowance</t>
        </is>
      </c>
      <c r="E60" s="21" t="inlineStr">
        <is>
          <t>Dec</t>
        </is>
      </c>
      <c r="F60" s="20" t="n">
        <v>1374.76</v>
      </c>
      <c r="G60" s="20" t="n">
        <v>0</v>
      </c>
      <c r="H60" s="20" t="n">
        <v>-1374.76</v>
      </c>
      <c r="I60" s="21" t="inlineStr">
        <is>
          <t>Missed</t>
        </is>
      </c>
      <c r="J60" s="21" t="inlineStr">
        <is>
          <t>EMP05</t>
        </is>
      </c>
      <c r="K60" s="21" t="inlineStr">
        <is>
          <t>Pending</t>
        </is>
      </c>
    </row>
    <row r="61">
      <c r="A61" s="18" t="n">
        <v>58</v>
      </c>
      <c r="B61" s="18" t="inlineStr">
        <is>
          <t>P013</t>
        </is>
      </c>
      <c r="C61" s="33" t="inlineStr">
        <is>
          <t>Jennifer White</t>
        </is>
      </c>
      <c r="D61" s="18" t="inlineStr">
        <is>
          <t>Pension</t>
        </is>
      </c>
      <c r="E61" s="18" t="inlineStr">
        <is>
          <t>Jan</t>
        </is>
      </c>
      <c r="F61" s="34" t="n">
        <v>2299.09</v>
      </c>
      <c r="G61" s="34" t="n">
        <v>1206.34</v>
      </c>
      <c r="H61" s="34" t="n">
        <v>-1092.75</v>
      </c>
      <c r="I61" s="18" t="inlineStr">
        <is>
          <t>Under Review</t>
        </is>
      </c>
      <c r="J61" s="18" t="inlineStr">
        <is>
          <t>EMP05</t>
        </is>
      </c>
      <c r="K61" s="18" t="inlineStr">
        <is>
          <t>Pending</t>
        </is>
      </c>
    </row>
    <row r="62">
      <c r="A62" s="18" t="n">
        <v>59</v>
      </c>
      <c r="B62" s="18" t="inlineStr">
        <is>
          <t>P013</t>
        </is>
      </c>
      <c r="C62" s="33" t="inlineStr">
        <is>
          <t>Jennifer White</t>
        </is>
      </c>
      <c r="D62" s="18" t="inlineStr">
        <is>
          <t>Pension</t>
        </is>
      </c>
      <c r="E62" s="18" t="inlineStr">
        <is>
          <t>Feb</t>
        </is>
      </c>
      <c r="F62" s="34" t="n">
        <v>2299.09</v>
      </c>
      <c r="G62" s="34" t="n">
        <v>1660.35</v>
      </c>
      <c r="H62" s="34" t="n">
        <v>-638.74</v>
      </c>
      <c r="I62" s="18" t="inlineStr">
        <is>
          <t>Under Review</t>
        </is>
      </c>
      <c r="J62" s="18" t="inlineStr">
        <is>
          <t>EMP01</t>
        </is>
      </c>
      <c r="K62" s="18" t="inlineStr">
        <is>
          <t>Pending</t>
        </is>
      </c>
    </row>
    <row r="63">
      <c r="A63" s="18" t="n">
        <v>60</v>
      </c>
      <c r="B63" s="18" t="inlineStr">
        <is>
          <t>P013</t>
        </is>
      </c>
      <c r="C63" s="33" t="inlineStr">
        <is>
          <t>Jennifer White</t>
        </is>
      </c>
      <c r="D63" s="18" t="inlineStr">
        <is>
          <t>Pension</t>
        </is>
      </c>
      <c r="E63" s="18" t="inlineStr">
        <is>
          <t>Mar</t>
        </is>
      </c>
      <c r="F63" s="34" t="n">
        <v>2299.09</v>
      </c>
      <c r="G63" s="34" t="n">
        <v>1201.8</v>
      </c>
      <c r="H63" s="34" t="n">
        <v>-1097.29</v>
      </c>
      <c r="I63" s="18" t="inlineStr">
        <is>
          <t>Under Review</t>
        </is>
      </c>
      <c r="J63" s="18" t="inlineStr">
        <is>
          <t>EMP02</t>
        </is>
      </c>
      <c r="K63" s="18" t="inlineStr">
        <is>
          <t>Pending</t>
        </is>
      </c>
    </row>
    <row r="64">
      <c r="A64" s="21" t="n">
        <v>61</v>
      </c>
      <c r="B64" s="21" t="inlineStr">
        <is>
          <t>P013</t>
        </is>
      </c>
      <c r="C64" s="37" t="inlineStr">
        <is>
          <t>Jennifer White</t>
        </is>
      </c>
      <c r="D64" s="21" t="inlineStr">
        <is>
          <t>Pension</t>
        </is>
      </c>
      <c r="E64" s="21" t="inlineStr">
        <is>
          <t>Jun</t>
        </is>
      </c>
      <c r="F64" s="20" t="n">
        <v>2299.09</v>
      </c>
      <c r="G64" s="20" t="n">
        <v>0</v>
      </c>
      <c r="H64" s="20" t="n">
        <v>-2299.09</v>
      </c>
      <c r="I64" s="21" t="inlineStr">
        <is>
          <t>Missed</t>
        </is>
      </c>
      <c r="J64" s="21" t="inlineStr">
        <is>
          <t>EMP05</t>
        </is>
      </c>
      <c r="K64" s="21" t="inlineStr">
        <is>
          <t>Pending</t>
        </is>
      </c>
    </row>
    <row r="65">
      <c r="A65" s="21" t="n">
        <v>62</v>
      </c>
      <c r="B65" s="21" t="inlineStr">
        <is>
          <t>P013</t>
        </is>
      </c>
      <c r="C65" s="37" t="inlineStr">
        <is>
          <t>Jennifer White</t>
        </is>
      </c>
      <c r="D65" s="21" t="inlineStr">
        <is>
          <t>Pension</t>
        </is>
      </c>
      <c r="E65" s="21" t="inlineStr">
        <is>
          <t>Aug</t>
        </is>
      </c>
      <c r="F65" s="20" t="n">
        <v>2299.09</v>
      </c>
      <c r="G65" s="20" t="n">
        <v>0</v>
      </c>
      <c r="H65" s="20" t="n">
        <v>-2299.09</v>
      </c>
      <c r="I65" s="21" t="inlineStr">
        <is>
          <t>Missed</t>
        </is>
      </c>
      <c r="J65" s="21" t="inlineStr">
        <is>
          <t>EMP03</t>
        </is>
      </c>
      <c r="K65" s="21" t="inlineStr">
        <is>
          <t>Pending</t>
        </is>
      </c>
    </row>
    <row r="66">
      <c r="A66" s="21" t="n">
        <v>63</v>
      </c>
      <c r="B66" s="21" t="inlineStr">
        <is>
          <t>P013</t>
        </is>
      </c>
      <c r="C66" s="37" t="inlineStr">
        <is>
          <t>Jennifer White</t>
        </is>
      </c>
      <c r="D66" s="21" t="inlineStr">
        <is>
          <t>Pension</t>
        </is>
      </c>
      <c r="E66" s="21" t="inlineStr">
        <is>
          <t>Sep</t>
        </is>
      </c>
      <c r="F66" s="20" t="n">
        <v>2299.09</v>
      </c>
      <c r="G66" s="20" t="n">
        <v>3088.46</v>
      </c>
      <c r="H66" s="20" t="n">
        <v>789.37</v>
      </c>
      <c r="I66" s="21" t="inlineStr">
        <is>
          <t>Discrepancy</t>
        </is>
      </c>
      <c r="J66" s="21" t="inlineStr">
        <is>
          <t>EMP05</t>
        </is>
      </c>
      <c r="K66" s="21" t="inlineStr">
        <is>
          <t>Pending</t>
        </is>
      </c>
    </row>
    <row r="67">
      <c r="A67" s="18" t="n">
        <v>64</v>
      </c>
      <c r="B67" s="18" t="inlineStr">
        <is>
          <t>P013</t>
        </is>
      </c>
      <c r="C67" s="33" t="inlineStr">
        <is>
          <t>Jennifer White</t>
        </is>
      </c>
      <c r="D67" s="18" t="inlineStr">
        <is>
          <t>Pension</t>
        </is>
      </c>
      <c r="E67" s="18" t="inlineStr">
        <is>
          <t>Oct</t>
        </is>
      </c>
      <c r="F67" s="34" t="n">
        <v>2299.09</v>
      </c>
      <c r="G67" s="34" t="n">
        <v>1332.92</v>
      </c>
      <c r="H67" s="34" t="n">
        <v>-966.17</v>
      </c>
      <c r="I67" s="18" t="inlineStr">
        <is>
          <t>Under Review</t>
        </is>
      </c>
      <c r="J67" s="18" t="inlineStr">
        <is>
          <t>EMP03</t>
        </is>
      </c>
      <c r="K67" s="18" t="inlineStr">
        <is>
          <t>Pending</t>
        </is>
      </c>
    </row>
    <row r="68">
      <c r="A68" s="21" t="n">
        <v>65</v>
      </c>
      <c r="B68" s="21" t="inlineStr">
        <is>
          <t>P013</t>
        </is>
      </c>
      <c r="C68" s="37" t="inlineStr">
        <is>
          <t>Jennifer White</t>
        </is>
      </c>
      <c r="D68" s="21" t="inlineStr">
        <is>
          <t>Pension</t>
        </is>
      </c>
      <c r="E68" s="21" t="inlineStr">
        <is>
          <t>Nov</t>
        </is>
      </c>
      <c r="F68" s="20" t="n">
        <v>2299.09</v>
      </c>
      <c r="G68" s="20" t="n">
        <v>0</v>
      </c>
      <c r="H68" s="20" t="n">
        <v>-2299.09</v>
      </c>
      <c r="I68" s="21" t="inlineStr">
        <is>
          <t>Missed</t>
        </is>
      </c>
      <c r="J68" s="21" t="inlineStr">
        <is>
          <t>EMP05</t>
        </is>
      </c>
      <c r="K68" s="21" t="inlineStr">
        <is>
          <t>Pending</t>
        </is>
      </c>
    </row>
    <row r="69">
      <c r="A69" s="18" t="n">
        <v>66</v>
      </c>
      <c r="B69" s="18" t="inlineStr">
        <is>
          <t>P013</t>
        </is>
      </c>
      <c r="C69" s="33" t="inlineStr">
        <is>
          <t>Jennifer White</t>
        </is>
      </c>
      <c r="D69" s="18" t="inlineStr">
        <is>
          <t>Pension</t>
        </is>
      </c>
      <c r="E69" s="18" t="inlineStr">
        <is>
          <t>Dec</t>
        </is>
      </c>
      <c r="F69" s="34" t="n">
        <v>2299.09</v>
      </c>
      <c r="G69" s="34" t="n">
        <v>1892.02</v>
      </c>
      <c r="H69" s="34" t="n">
        <v>-407.07</v>
      </c>
      <c r="I69" s="18" t="inlineStr">
        <is>
          <t>Under Review</t>
        </is>
      </c>
      <c r="J69" s="18" t="inlineStr">
        <is>
          <t>EMP05</t>
        </is>
      </c>
      <c r="K69" s="18" t="inlineStr">
        <is>
          <t>Pending</t>
        </is>
      </c>
    </row>
    <row r="70">
      <c r="A70" s="18" t="n">
        <v>67</v>
      </c>
      <c r="B70" s="18" t="inlineStr">
        <is>
          <t>P014</t>
        </is>
      </c>
      <c r="C70" s="33" t="inlineStr">
        <is>
          <t>Charles Harris</t>
        </is>
      </c>
      <c r="D70" s="18" t="inlineStr">
        <is>
          <t>Pension</t>
        </is>
      </c>
      <c r="E70" s="18" t="inlineStr">
        <is>
          <t>Jan</t>
        </is>
      </c>
      <c r="F70" s="34" t="n">
        <v>2394.26</v>
      </c>
      <c r="G70" s="34" t="n">
        <v>2036.59</v>
      </c>
      <c r="H70" s="34" t="n">
        <v>-357.67</v>
      </c>
      <c r="I70" s="18" t="inlineStr">
        <is>
          <t>Under Review</t>
        </is>
      </c>
      <c r="J70" s="18" t="inlineStr">
        <is>
          <t>EMP03</t>
        </is>
      </c>
      <c r="K70" s="18" t="inlineStr">
        <is>
          <t>Pending</t>
        </is>
      </c>
    </row>
    <row r="71">
      <c r="A71" s="18" t="n">
        <v>68</v>
      </c>
      <c r="B71" s="18" t="inlineStr">
        <is>
          <t>P014</t>
        </is>
      </c>
      <c r="C71" s="33" t="inlineStr">
        <is>
          <t>Charles Harris</t>
        </is>
      </c>
      <c r="D71" s="18" t="inlineStr">
        <is>
          <t>Pension</t>
        </is>
      </c>
      <c r="E71" s="18" t="inlineStr">
        <is>
          <t>Feb</t>
        </is>
      </c>
      <c r="F71" s="34" t="n">
        <v>2394.26</v>
      </c>
      <c r="G71" s="34" t="n">
        <v>2052.12</v>
      </c>
      <c r="H71" s="34" t="n">
        <v>-342.14</v>
      </c>
      <c r="I71" s="18" t="inlineStr">
        <is>
          <t>Under Review</t>
        </is>
      </c>
      <c r="J71" s="18" t="inlineStr">
        <is>
          <t>EMP02</t>
        </is>
      </c>
      <c r="K71" s="18" t="inlineStr">
        <is>
          <t>Pending</t>
        </is>
      </c>
    </row>
    <row r="72">
      <c r="A72" s="21" t="n">
        <v>69</v>
      </c>
      <c r="B72" s="21" t="inlineStr">
        <is>
          <t>P014</t>
        </is>
      </c>
      <c r="C72" s="37" t="inlineStr">
        <is>
          <t>Charles Harris</t>
        </is>
      </c>
      <c r="D72" s="21" t="inlineStr">
        <is>
          <t>Pension</t>
        </is>
      </c>
      <c r="E72" s="21" t="inlineStr">
        <is>
          <t>Mar</t>
        </is>
      </c>
      <c r="F72" s="20" t="n">
        <v>2394.26</v>
      </c>
      <c r="G72" s="20" t="n">
        <v>0</v>
      </c>
      <c r="H72" s="20" t="n">
        <v>-2394.26</v>
      </c>
      <c r="I72" s="21" t="inlineStr">
        <is>
          <t>Missed</t>
        </is>
      </c>
      <c r="J72" s="21" t="inlineStr">
        <is>
          <t>EMP02</t>
        </is>
      </c>
      <c r="K72" s="21" t="inlineStr">
        <is>
          <t>Pending</t>
        </is>
      </c>
    </row>
    <row r="73">
      <c r="A73" s="19" t="n">
        <v>70</v>
      </c>
      <c r="B73" s="19" t="inlineStr">
        <is>
          <t>P014</t>
        </is>
      </c>
      <c r="C73" s="35" t="inlineStr">
        <is>
          <t>Charles Harris</t>
        </is>
      </c>
      <c r="D73" s="19" t="inlineStr">
        <is>
          <t>Pension</t>
        </is>
      </c>
      <c r="E73" s="19" t="inlineStr">
        <is>
          <t>Apr</t>
        </is>
      </c>
      <c r="F73" s="36" t="n">
        <v>2394.26</v>
      </c>
      <c r="G73" s="36" t="n">
        <v>2394.26</v>
      </c>
      <c r="H73" s="36" t="n">
        <v>0</v>
      </c>
      <c r="I73" s="19" t="inlineStr">
        <is>
          <t>Late</t>
        </is>
      </c>
      <c r="J73" s="19" t="inlineStr">
        <is>
          <t>EMP01</t>
        </is>
      </c>
      <c r="K73" s="19" t="inlineStr">
        <is>
          <t>Pending</t>
        </is>
      </c>
    </row>
    <row r="74">
      <c r="A74" s="19" t="n">
        <v>71</v>
      </c>
      <c r="B74" s="19" t="inlineStr">
        <is>
          <t>P014</t>
        </is>
      </c>
      <c r="C74" s="35" t="inlineStr">
        <is>
          <t>Charles Harris</t>
        </is>
      </c>
      <c r="D74" s="19" t="inlineStr">
        <is>
          <t>Pension</t>
        </is>
      </c>
      <c r="E74" s="19" t="inlineStr">
        <is>
          <t>May</t>
        </is>
      </c>
      <c r="F74" s="36" t="n">
        <v>2394.26</v>
      </c>
      <c r="G74" s="36" t="n">
        <v>2394.26</v>
      </c>
      <c r="H74" s="36" t="n">
        <v>0</v>
      </c>
      <c r="I74" s="19" t="inlineStr">
        <is>
          <t>Late</t>
        </is>
      </c>
      <c r="J74" s="19" t="inlineStr">
        <is>
          <t>EMP04</t>
        </is>
      </c>
      <c r="K74" s="19" t="inlineStr">
        <is>
          <t>Pending</t>
        </is>
      </c>
    </row>
    <row r="75">
      <c r="A75" s="21" t="n">
        <v>72</v>
      </c>
      <c r="B75" s="21" t="inlineStr">
        <is>
          <t>P015</t>
        </is>
      </c>
      <c r="C75" s="37" t="inlineStr">
        <is>
          <t>Maria Thompson</t>
        </is>
      </c>
      <c r="D75" s="21" t="inlineStr">
        <is>
          <t>Allowance</t>
        </is>
      </c>
      <c r="E75" s="21" t="inlineStr">
        <is>
          <t>Feb</t>
        </is>
      </c>
      <c r="F75" s="20" t="n">
        <v>1368.68</v>
      </c>
      <c r="G75" s="20" t="n">
        <v>0</v>
      </c>
      <c r="H75" s="20" t="n">
        <v>-1368.68</v>
      </c>
      <c r="I75" s="21" t="inlineStr">
        <is>
          <t>Missed</t>
        </is>
      </c>
      <c r="J75" s="21" t="inlineStr">
        <is>
          <t>EMP02</t>
        </is>
      </c>
      <c r="K75" s="21" t="inlineStr">
        <is>
          <t>Pending</t>
        </is>
      </c>
    </row>
    <row r="76">
      <c r="A76" s="19" t="n">
        <v>73</v>
      </c>
      <c r="B76" s="19" t="inlineStr">
        <is>
          <t>P015</t>
        </is>
      </c>
      <c r="C76" s="35" t="inlineStr">
        <is>
          <t>Maria Thompson</t>
        </is>
      </c>
      <c r="D76" s="19" t="inlineStr">
        <is>
          <t>Allowance</t>
        </is>
      </c>
      <c r="E76" s="19" t="inlineStr">
        <is>
          <t>Apr</t>
        </is>
      </c>
      <c r="F76" s="36" t="n">
        <v>1368.68</v>
      </c>
      <c r="G76" s="36" t="n">
        <v>1368.68</v>
      </c>
      <c r="H76" s="36" t="n">
        <v>0</v>
      </c>
      <c r="I76" s="19" t="inlineStr">
        <is>
          <t>Late</t>
        </is>
      </c>
      <c r="J76" s="19" t="inlineStr">
        <is>
          <t>EMP05</t>
        </is>
      </c>
      <c r="K76" s="19" t="inlineStr">
        <is>
          <t>Pending</t>
        </is>
      </c>
    </row>
    <row r="77">
      <c r="A77" s="19" t="n">
        <v>74</v>
      </c>
      <c r="B77" s="19" t="inlineStr">
        <is>
          <t>P015</t>
        </is>
      </c>
      <c r="C77" s="35" t="inlineStr">
        <is>
          <t>Maria Thompson</t>
        </is>
      </c>
      <c r="D77" s="19" t="inlineStr">
        <is>
          <t>Allowance</t>
        </is>
      </c>
      <c r="E77" s="19" t="inlineStr">
        <is>
          <t>May</t>
        </is>
      </c>
      <c r="F77" s="36" t="n">
        <v>1368.68</v>
      </c>
      <c r="G77" s="36" t="n">
        <v>1368.68</v>
      </c>
      <c r="H77" s="36" t="n">
        <v>0</v>
      </c>
      <c r="I77" s="19" t="inlineStr">
        <is>
          <t>Late</t>
        </is>
      </c>
      <c r="J77" s="19" t="inlineStr">
        <is>
          <t>EMP03</t>
        </is>
      </c>
      <c r="K77" s="19" t="inlineStr">
        <is>
          <t>Pending</t>
        </is>
      </c>
    </row>
    <row r="78">
      <c r="A78" s="19" t="n">
        <v>75</v>
      </c>
      <c r="B78" s="19" t="inlineStr">
        <is>
          <t>P015</t>
        </is>
      </c>
      <c r="C78" s="35" t="inlineStr">
        <is>
          <t>Maria Thompson</t>
        </is>
      </c>
      <c r="D78" s="19" t="inlineStr">
        <is>
          <t>Allowance</t>
        </is>
      </c>
      <c r="E78" s="19" t="inlineStr">
        <is>
          <t>Jun</t>
        </is>
      </c>
      <c r="F78" s="36" t="n">
        <v>1368.68</v>
      </c>
      <c r="G78" s="36" t="n">
        <v>1368.68</v>
      </c>
      <c r="H78" s="36" t="n">
        <v>0</v>
      </c>
      <c r="I78" s="19" t="inlineStr">
        <is>
          <t>Late</t>
        </is>
      </c>
      <c r="J78" s="19" t="inlineStr">
        <is>
          <t>EMP02</t>
        </is>
      </c>
      <c r="K78" s="19" t="inlineStr">
        <is>
          <t>Pending</t>
        </is>
      </c>
    </row>
    <row r="79">
      <c r="A79" s="18" t="n">
        <v>76</v>
      </c>
      <c r="B79" s="18" t="inlineStr">
        <is>
          <t>P015</t>
        </is>
      </c>
      <c r="C79" s="33" t="inlineStr">
        <is>
          <t>Maria Thompson</t>
        </is>
      </c>
      <c r="D79" s="18" t="inlineStr">
        <is>
          <t>Allowance</t>
        </is>
      </c>
      <c r="E79" s="18" t="inlineStr">
        <is>
          <t>Oct</t>
        </is>
      </c>
      <c r="F79" s="34" t="n">
        <v>1368.68</v>
      </c>
      <c r="G79" s="34" t="n">
        <v>935.45</v>
      </c>
      <c r="H79" s="34" t="n">
        <v>-433.23</v>
      </c>
      <c r="I79" s="18" t="inlineStr">
        <is>
          <t>Under Review</t>
        </is>
      </c>
      <c r="J79" s="18" t="inlineStr">
        <is>
          <t>EMP01</t>
        </is>
      </c>
      <c r="K79" s="18" t="inlineStr">
        <is>
          <t>Pending</t>
        </is>
      </c>
    </row>
    <row r="80">
      <c r="A80" s="19" t="n">
        <v>77</v>
      </c>
      <c r="B80" s="19" t="inlineStr">
        <is>
          <t>P015</t>
        </is>
      </c>
      <c r="C80" s="35" t="inlineStr">
        <is>
          <t>Maria Thompson</t>
        </is>
      </c>
      <c r="D80" s="19" t="inlineStr">
        <is>
          <t>Allowance</t>
        </is>
      </c>
      <c r="E80" s="19" t="inlineStr">
        <is>
          <t>Nov</t>
        </is>
      </c>
      <c r="F80" s="36" t="n">
        <v>1368.68</v>
      </c>
      <c r="G80" s="36" t="n">
        <v>1368.68</v>
      </c>
      <c r="H80" s="36" t="n">
        <v>0</v>
      </c>
      <c r="I80" s="19" t="inlineStr">
        <is>
          <t>Late</t>
        </is>
      </c>
      <c r="J80" s="19" t="inlineStr">
        <is>
          <t>EMP03</t>
        </is>
      </c>
      <c r="K80" s="19" t="inlineStr">
        <is>
          <t>Pending</t>
        </is>
      </c>
    </row>
    <row r="81">
      <c r="A81" s="18" t="n">
        <v>78</v>
      </c>
      <c r="B81" s="18" t="inlineStr">
        <is>
          <t>P015</t>
        </is>
      </c>
      <c r="C81" s="33" t="inlineStr">
        <is>
          <t>Maria Thompson</t>
        </is>
      </c>
      <c r="D81" s="18" t="inlineStr">
        <is>
          <t>Allowance</t>
        </is>
      </c>
      <c r="E81" s="18" t="inlineStr">
        <is>
          <t>Dec</t>
        </is>
      </c>
      <c r="F81" s="34" t="n">
        <v>1368.68</v>
      </c>
      <c r="G81" s="34" t="n">
        <v>1025.92</v>
      </c>
      <c r="H81" s="34" t="n">
        <v>-342.76</v>
      </c>
      <c r="I81" s="18" t="inlineStr">
        <is>
          <t>Under Review</t>
        </is>
      </c>
      <c r="J81" s="18" t="inlineStr">
        <is>
          <t>EMP05</t>
        </is>
      </c>
      <c r="K81" s="18" t="inlineStr">
        <is>
          <t>Pending</t>
        </is>
      </c>
    </row>
  </sheetData>
  <autoFilter ref="A3:K81"/>
  <mergeCells count="2">
    <mergeCell ref="A2:K2"/>
    <mergeCell ref="A1:K1"/>
  </mergeCells>
  <dataValidations count="1">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showDropDown="0" showInputMessage="0" showErrorMessage="0" allowBlank="0" type="list">
      <formula1>"Pending,In Progress,Resolved,Escalated"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2026-06-05T00:44:32Z</dcterms:created>
  <dcterms:modified xsi:type="dcterms:W3CDTF">2026-06-05T00:44:33Z</dcterms:modified>
</cp:coreProperties>
</file>